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C:\Users\anush\Desktop\"/>
    </mc:Choice>
  </mc:AlternateContent>
  <xr:revisionPtr revIDLastSave="0" documentId="13_ncr:1_{348EED0A-6313-4CED-A45A-5F0BB9DB4565}" xr6:coauthVersionLast="47" xr6:coauthVersionMax="47" xr10:uidLastSave="{00000000-0000-0000-0000-000000000000}"/>
  <bookViews>
    <workbookView xWindow="-108" yWindow="-108" windowWidth="23256" windowHeight="12456" activeTab="1" xr2:uid="{26D4546B-D2A1-4444-8EAF-A6228F96F0C1}"/>
  </bookViews>
  <sheets>
    <sheet name="pivot" sheetId="6" r:id="rId1"/>
    <sheet name="Dashboard" sheetId="7" r:id="rId2"/>
    <sheet name="Data" sheetId="2" r:id="rId3"/>
    <sheet name="Assets" sheetId="4" r:id="rId4"/>
  </sheets>
  <definedNames>
    <definedName name="_xlnm._FilterDatabase" localSheetId="2"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27" r:id="rId9"/>
    <pivotCache cacheId="30" r:id="rId10"/>
    <pivotCache cacheId="33" r:id="rId11"/>
    <pivotCache cacheId="36" r:id="rId12"/>
    <pivotCache cacheId="3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B47" i="6" l="1"/>
  <c r="L11" i="4"/>
  <c r="J9" i="4"/>
  <c r="J28" i="6"/>
  <c r="F32" i="6"/>
  <c r="G32" i="6"/>
  <c r="H32" i="6"/>
  <c r="F33" i="6"/>
  <c r="G33" i="6"/>
  <c r="H33" i="6"/>
  <c r="F34" i="6"/>
  <c r="G34" i="6"/>
  <c r="H34" i="6"/>
  <c r="F35" i="6"/>
  <c r="G35" i="6"/>
  <c r="H35" i="6"/>
  <c r="G31" i="6"/>
  <c r="H31" i="6"/>
  <c r="F31" i="6"/>
  <c r="I4" i="2"/>
  <c r="J4" i="2"/>
  <c r="K4" i="2" a="1"/>
  <c r="K4" i="2" s="1"/>
  <c r="L4" i="2"/>
  <c r="I5" i="2"/>
  <c r="J5" i="2"/>
  <c r="K5" i="2" a="1"/>
  <c r="K5" i="2" s="1"/>
  <c r="L5" i="2"/>
  <c r="I6" i="2"/>
  <c r="J6" i="2"/>
  <c r="K6" i="2" a="1"/>
  <c r="K6" i="2" s="1"/>
  <c r="L6" i="2"/>
  <c r="I7" i="2"/>
  <c r="J7" i="2"/>
  <c r="K7" i="2" a="1"/>
  <c r="K7" i="2" s="1"/>
  <c r="L7" i="2"/>
  <c r="I8" i="2"/>
  <c r="J8" i="2"/>
  <c r="K8" i="2" a="1"/>
  <c r="K8" i="2" s="1"/>
  <c r="L8" i="2"/>
  <c r="I9" i="2"/>
  <c r="J9" i="2"/>
  <c r="K9" i="2" a="1"/>
  <c r="K9" i="2" s="1"/>
  <c r="L9" i="2"/>
  <c r="I10" i="2"/>
  <c r="J10" i="2"/>
  <c r="K10" i="2" a="1"/>
  <c r="K10" i="2" s="1"/>
  <c r="L10" i="2"/>
  <c r="I11" i="2"/>
  <c r="J11" i="2"/>
  <c r="K11" i="2" a="1"/>
  <c r="K11" i="2" s="1"/>
  <c r="L11" i="2"/>
  <c r="I12" i="2"/>
  <c r="J12" i="2"/>
  <c r="K12" i="2" a="1"/>
  <c r="K12" i="2" s="1"/>
  <c r="L12" i="2"/>
  <c r="I13" i="2"/>
  <c r="J13" i="2"/>
  <c r="K13" i="2" a="1"/>
  <c r="K13" i="2"/>
  <c r="L13" i="2"/>
  <c r="I14" i="2"/>
  <c r="J14" i="2"/>
  <c r="K14" i="2" a="1"/>
  <c r="K14" i="2" s="1"/>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2" i="6" l="1"/>
  <c r="I34" i="6"/>
  <c r="I33" i="6"/>
  <c r="I32" i="6"/>
  <c r="I31" i="6"/>
  <c r="J31" i="6"/>
  <c r="J35" i="6"/>
  <c r="J34" i="6"/>
  <c r="I35" i="6"/>
  <c r="J3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E8BFCA-767A-41EB-8550-85E4A61F9F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02A51A3-F224-47FC-B162-D37386D6ECF0}"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B32C6D2F-F949-499B-B11A-69970620FA95}"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<sst xmlns="http://schemas.openxmlformats.org/spreadsheetml/2006/main" count="3186" uniqueCount="1083">
  <si>
    <t>Customer ID</t>
  </si>
  <si>
    <t>Duration</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</si>
  <si>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</si>
  <si>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</si>
  <si>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</si>
  <si>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</si>
  <si>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</si>
  <si>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</si>
  <si>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</si>
  <si>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</si>
  <si>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</si>
  <si>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</si>
  <si>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</si>
  <si>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</si>
  <si>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</si>
  <si>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</si>
  <si>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</si>
  <si>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</si>
  <si>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</si>
  <si>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</si>
  <si>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</si>
  <si>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</si>
  <si>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</si>
  <si>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</si>
  <si>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</si>
  <si>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</si>
  <si>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</si>
  <si>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</si>
  <si>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</si>
  <si>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</si>
  <si>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</si>
  <si>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</si>
  <si>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</si>
  <si>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</si>
  <si>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</si>
  <si>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</si>
  <si>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</si>
  <si>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</si>
  <si>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</si>
  <si>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</si>
  <si>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</si>
  <si>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</si>
  <si>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</si>
  <si>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</si>
  <si>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</si>
  <si>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</si>
  <si>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</si>
  <si>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</si>
  <si>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</si>
  <si>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</si>
  <si>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</si>
  <si>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</si>
  <si>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</si>
  <si>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</si>
  <si>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</si>
  <si>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</si>
  <si>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</si>
  <si>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</si>
  <si>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</si>
  <si>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</si>
  <si>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</si>
  <si>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</si>
  <si>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</si>
  <si>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</si>
  <si>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</si>
  <si>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</si>
  <si>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</si>
  <si>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</si>
  <si>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</si>
  <si>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</si>
  <si>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</si>
  <si>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</si>
  <si>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</si>
  <si>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</si>
  <si>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</si>
  <si>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</si>
  <si>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</si>
  <si>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</si>
  <si>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</si>
  <si>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</si>
  <si>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</si>
  <si>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</si>
  <si>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</si>
  <si>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</si>
  <si>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</si>
  <si>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</si>
  <si>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</si>
  <si>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</si>
  <si>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</si>
  <si>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</si>
  <si>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</si>
  <si>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</si>
  <si>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</si>
  <si>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</si>
  <si>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</si>
  <si>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</si>
  <si>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</si>
  <si>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</si>
  <si>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</si>
  <si>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</si>
  <si>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</si>
  <si>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</si>
  <si>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</si>
  <si>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</si>
  <si>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</si>
  <si>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</si>
  <si>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</si>
  <si>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</si>
  <si>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</si>
  <si>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</si>
  <si>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</si>
  <si>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</si>
  <si>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</si>
  <si>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</si>
  <si>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</si>
  <si>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</si>
  <si>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</si>
  <si>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</si>
  <si>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</si>
  <si>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</si>
  <si>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</si>
  <si>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</si>
  <si>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</si>
  <si>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</si>
  <si>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</si>
  <si>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</si>
  <si>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</si>
  <si>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</si>
  <si>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</si>
  <si>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</si>
  <si>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</si>
  <si>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</si>
  <si>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</si>
  <si>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</si>
  <si>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</si>
  <si>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</si>
  <si>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</si>
  <si>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</si>
  <si>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</si>
  <si>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</si>
  <si>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</si>
  <si>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</si>
  <si>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</si>
  <si>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</si>
  <si>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</si>
  <si>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</si>
  <si>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</si>
  <si>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</si>
  <si>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</si>
  <si>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</si>
  <si>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</si>
  <si>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</si>
  <si>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</si>
  <si>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</si>
  <si>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</si>
  <si>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</si>
  <si>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</si>
  <si>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</si>
  <si>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</si>
  <si>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</si>
  <si>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</si>
  <si>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</si>
  <si>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</si>
  <si>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</si>
  <si>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</si>
  <si>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</si>
  <si>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</si>
  <si>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</si>
  <si>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</si>
  <si>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</si>
  <si>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</si>
  <si>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</si>
  <si>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</si>
  <si>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</si>
  <si>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</si>
  <si>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</si>
  <si>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</si>
  <si>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</si>
  <si>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</si>
  <si>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</si>
  <si>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</si>
  <si>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</si>
  <si>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</si>
  <si>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</si>
  <si>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</si>
  <si>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</si>
  <si>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</si>
  <si>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</si>
  <si>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</si>
  <si>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</si>
  <si>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</si>
  <si>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</si>
  <si>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</si>
  <si>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</si>
  <si>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</si>
  <si>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</si>
  <si>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</si>
  <si>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</si>
  <si>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</si>
  <si>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</si>
  <si>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</si>
  <si>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</si>
  <si>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</si>
  <si>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</si>
  <si>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</si>
  <si>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</si>
  <si>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</si>
  <si>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</si>
  <si>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</si>
  <si>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</si>
  <si>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</si>
  <si>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</si>
  <si>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</si>
  <si>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</si>
  <si>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</si>
  <si>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</si>
  <si>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</si>
  <si>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</si>
  <si>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</si>
  <si>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</si>
  <si>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</si>
  <si>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</si>
  <si>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</si>
  <si>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</si>
  <si>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</si>
  <si>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</si>
  <si>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</si>
  <si>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</si>
  <si>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</si>
  <si>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</si>
  <si>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</si>
  <si>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</si>
  <si>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</si>
  <si>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</si>
  <si>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</si>
  <si>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</si>
  <si>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</si>
  <si>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</si>
  <si>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</si>
  <si>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</si>
  <si>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</si>
  <si>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</si>
  <si>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</si>
  <si>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</si>
  <si>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</si>
  <si>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</si>
  <si>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</si>
  <si>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</si>
  <si>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</si>
  <si>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</si>
  <si>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</si>
  <si>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</si>
  <si>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</si>
  <si>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</si>
  <si>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</si>
  <si>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</si>
  <si>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</si>
  <si>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</si>
  <si>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</si>
  <si>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</si>
  <si>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</si>
  <si>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</si>
  <si>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</si>
  <si>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</si>
  <si>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</si>
  <si>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</si>
  <si>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</si>
  <si>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</si>
  <si>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</si>
  <si>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</si>
  <si>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</si>
  <si>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</si>
  <si>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</si>
  <si>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</si>
  <si>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</si>
  <si>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</si>
  <si>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</si>
  <si>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</si>
  <si>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</si>
  <si>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</si>
  <si>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</si>
  <si>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</si>
  <si>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</si>
  <si>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</si>
  <si>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</si>
  <si>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</si>
  <si>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</si>
  <si>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</si>
  <si>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</si>
  <si>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</si>
  <si>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</si>
  <si>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</si>
  <si>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</si>
  <si>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</si>
  <si>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</si>
  <si>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</si>
  <si>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</si>
  <si>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</si>
  <si>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</si>
  <si>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</si>
  <si>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</si>
  <si>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</si>
  <si>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</si>
  <si>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</si>
  <si>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</si>
  <si>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</si>
  <si>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</si>
  <si>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</si>
  <si>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</si>
  <si>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</si>
  <si>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</si>
  <si>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</si>
  <si>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</si>
  <si>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</si>
  <si>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</si>
  <si>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</si>
  <si>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</si>
  <si>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</si>
  <si>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</si>
  <si>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</si>
  <si>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</si>
  <si>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</si>
  <si>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</si>
  <si>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</si>
  <si>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</si>
  <si>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</si>
  <si>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</si>
  <si>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</si>
  <si>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</si>
  <si>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</si>
  <si>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</si>
  <si>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</si>
  <si>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</si>
  <si>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</si>
  <si>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</si>
  <si>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</si>
  <si>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</si>
  <si>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</si>
  <si>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</si>
  <si>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</si>
  <si>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</si>
  <si>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</si>
  <si>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</si>
  <si>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</si>
  <si>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</si>
  <si>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</si>
  <si>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</si>
  <si>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</si>
  <si>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</si>
  <si>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</si>
  <si>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</si>
  <si>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</si>
  <si>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</si>
  <si>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</si>
  <si>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</si>
  <si>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</si>
  <si>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</si>
  <si>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</si>
  <si>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</si>
  <si>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</si>
  <si>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</si>
  <si>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</si>
  <si>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</si>
  <si>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</si>
  <si>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</si>
  <si>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</si>
  <si>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</si>
  <si>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</si>
  <si>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</si>
  <si>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</si>
  <si>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</si>
  <si>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</si>
  <si>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</si>
  <si>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</si>
  <si>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</si>
  <si>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</si>
  <si>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</si>
  <si>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</si>
  <si>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</si>
  <si>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</si>
  <si>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</si>
  <si>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</si>
  <si>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</si>
  <si>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</si>
  <si>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</si>
  <si>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</si>
  <si>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</si>
  <si>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</si>
  <si>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</si>
  <si>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</si>
  <si>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</si>
  <si>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</si>
  <si>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</si>
  <si>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</si>
  <si>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</si>
  <si>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</si>
  <si>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</si>
  <si>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</si>
  <si>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</si>
  <si>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</si>
  <si>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</si>
  <si>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</si>
  <si>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</si>
  <si>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</si>
  <si>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</si>
  <si>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</si>
  <si>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</si>
  <si>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</si>
  <si>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</si>
  <si>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</si>
  <si>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</si>
  <si>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</si>
  <si>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</si>
  <si>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</si>
  <si>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</si>
  <si>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</si>
  <si>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</si>
  <si>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</si>
  <si>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</si>
  <si>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</si>
  <si>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</si>
  <si>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</si>
  <si>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</si>
  <si>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</si>
  <si>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</si>
  <si>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</si>
  <si>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</si>
  <si>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</si>
  <si>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</si>
  <si>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</si>
  <si>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</si>
  <si>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</si>
  <si>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</si>
  <si>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</si>
  <si>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</si>
  <si>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</si>
  <si>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</si>
  <si>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</si>
  <si>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</si>
  <si>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</si>
  <si>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</si>
  <si>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</si>
  <si>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</si>
  <si>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</si>
  <si>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</si>
  <si>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</si>
  <si>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</si>
  <si>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</si>
  <si>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</si>
  <si>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</si>
  <si>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</si>
  <si>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</si>
  <si>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</si>
  <si>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</si>
  <si>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</si>
  <si>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</si>
  <si>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</si>
  <si>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</si>
  <si>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</si>
  <si>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</si>
  <si>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</si>
  <si>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</si>
  <si>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</si>
  <si>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</si>
  <si>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</si>
  <si>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</si>
  <si>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</si>
  <si>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</si>
  <si>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</si>
  <si>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</si>
  <si>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</si>
  <si>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</si>
  <si>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</si>
  <si>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</si>
  <si>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</si>
  <si>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</si>
  <si>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</si>
  <si>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</si>
  <si>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</si>
  <si>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</si>
  <si>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</si>
  <si>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</si>
  <si>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</si>
  <si>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</si>
  <si>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</si>
  <si>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</si>
  <si>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</si>
  <si>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</si>
  <si>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</si>
  <si>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</si>
  <si>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</si>
  <si>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</si>
  <si>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</si>
  <si>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</si>
  <si>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</si>
  <si>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</si>
  <si>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</si>
  <si>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</si>
  <si>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</si>
  <si>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</si>
  <si>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</si>
  <si>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</si>
  <si>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</si>
  <si>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</si>
  <si>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</si>
  <si>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</si>
  <si>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</si>
  <si>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</si>
  <si>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</si>
  <si>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</si>
  <si>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</si>
  <si>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</si>
  <si>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</si>
  <si>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</si>
  <si>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</si>
  <si>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</si>
  <si>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</si>
  <si>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</si>
  <si>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</si>
  <si>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</si>
  <si>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</si>
  <si>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</si>
  <si>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</si>
  <si>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</si>
  <si>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</si>
  <si>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</si>
  <si>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</si>
  <si>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</si>
  <si>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</si>
  <si>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</si>
  <si>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</si>
  <si>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</si>
  <si>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</si>
  <si>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</si>
  <si>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</si>
  <si>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</si>
  <si>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</si>
  <si>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</si>
  <si>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</si>
  <si>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</si>
  <si>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</si>
  <si>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</si>
  <si>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</si>
  <si>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</si>
  <si>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</si>
  <si>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</si>
  <si>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</si>
  <si>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</si>
  <si>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</si>
  <si>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</si>
  <si>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</si>
  <si>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</si>
  <si>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</si>
  <si>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</si>
  <si>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</si>
  <si>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</si>
  <si>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</si>
  <si>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</si>
  <si>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</si>
  <si>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</si>
  <si>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</si>
  <si>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</si>
  <si>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</si>
  <si>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</si>
  <si>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</si>
  <si>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</si>
  <si>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</si>
  <si>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</si>
  <si>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</si>
  <si>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</si>
  <si>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</si>
  <si>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</si>
  <si>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</si>
  <si>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</si>
  <si>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</si>
  <si>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</si>
  <si>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</si>
  <si>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</si>
  <si>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</si>
  <si>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</si>
  <si>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</si>
  <si>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</si>
  <si>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</si>
  <si>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</si>
  <si>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</si>
  <si>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</si>
  <si>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</si>
  <si>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</si>
  <si>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</si>
  <si>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</si>
  <si>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</si>
  <si>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</si>
  <si>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</si>
  <si>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</si>
  <si>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</si>
  <si>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</si>
  <si>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</si>
  <si>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</si>
  <si>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</si>
  <si>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</si>
  <si>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</si>
  <si>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</si>
  <si>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</si>
  <si>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</si>
  <si>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</si>
  <si>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</si>
  <si>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</si>
  <si>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</si>
  <si>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</si>
  <si>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</si>
  <si>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</si>
  <si>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</si>
  <si>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</si>
  <si>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</si>
  <si>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</si>
  <si>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</si>
  <si>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</si>
  <si>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</si>
  <si>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</si>
  <si>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</si>
  <si>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</si>
  <si>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</si>
  <si>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</si>
  <si>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</si>
  <si>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</si>
  <si>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</si>
  <si>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</si>
  <si>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</si>
  <si>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</si>
  <si>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</si>
  <si>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</si>
  <si>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</si>
  <si>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</si>
  <si>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</si>
  <si>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</si>
  <si>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</si>
  <si>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</si>
  <si>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</si>
  <si>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</si>
  <si>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</si>
  <si>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</si>
  <si>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</si>
  <si>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</si>
  <si>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</si>
  <si>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</si>
  <si>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</si>
  <si>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</si>
  <si>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</si>
  <si>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</si>
  <si>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</si>
  <si>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</si>
  <si>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</si>
  <si>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</si>
  <si>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</si>
  <si>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</si>
  <si>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</si>
  <si>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</si>
  <si>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</si>
  <si>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</si>
  <si>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</si>
  <si>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</si>
  <si>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</si>
  <si>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</si>
  <si>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</si>
  <si>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</si>
  <si>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</si>
  <si>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</si>
  <si>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</si>
  <si>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</si>
  <si>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</si>
  <si>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</si>
  <si>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</si>
  <si>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</si>
  <si>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</si>
  <si>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</si>
  <si>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</si>
  <si>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</si>
  <si>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</si>
  <si>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</si>
  <si>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</si>
  <si>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</si>
  <si>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</si>
  <si>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</si>
  <si>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</si>
  <si>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</si>
  <si>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</si>
  <si>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</si>
  <si>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</si>
  <si>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</si>
  <si>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</si>
  <si>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</si>
  <si>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</si>
  <si>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</si>
  <si>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</si>
  <si>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</si>
  <si>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</si>
  <si>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</si>
  <si>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</si>
  <si>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</si>
  <si>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</si>
  <si>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</si>
  <si>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</si>
  <si>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</si>
  <si>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</si>
  <si>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</si>
  <si>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</si>
  <si>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</si>
  <si>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</si>
  <si>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</si>
  <si>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</si>
  <si>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</si>
  <si>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</si>
  <si>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</si>
  <si>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</si>
  <si>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</si>
  <si>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</si>
  <si>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</si>
  <si>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</si>
  <si>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</si>
  <si>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</si>
  <si>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</si>
  <si>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</si>
  <si>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</si>
  <si>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</si>
  <si>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</si>
  <si>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</si>
  <si>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</si>
  <si>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</si>
  <si>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</si>
  <si>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</si>
  <si>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</si>
  <si>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</si>
  <si>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</si>
  <si>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</si>
  <si>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</si>
  <si>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</si>
  <si>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</si>
  <si>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</si>
  <si>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</si>
  <si>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</si>
  <si>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</si>
  <si>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</si>
  <si>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</si>
  <si>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</si>
  <si>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</si>
  <si>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</si>
  <si>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</si>
  <si>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</si>
  <si>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</si>
  <si>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</si>
  <si>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</si>
  <si>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</si>
  <si>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</si>
  <si>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</si>
  <si>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</si>
  <si>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</si>
  <si>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</si>
  <si>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</si>
  <si>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</si>
  <si>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</si>
  <si>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</si>
  <si>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</si>
  <si>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</si>
  <si>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</si>
  <si>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</si>
  <si>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</si>
  <si>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</si>
  <si>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</si>
  <si>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</si>
  <si>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</si>
  <si>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</si>
  <si>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</si>
  <si>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</si>
  <si>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</si>
  <si>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</si>
  <si>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</si>
  <si>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</si>
  <si>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</si>
  <si>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</si>
  <si>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</si>
  <si>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</si>
  <si>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</si>
  <si>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</si>
  <si>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</si>
  <si>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</si>
  <si>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</si>
  <si>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</si>
  <si>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</si>
  <si>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</si>
  <si>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</si>
  <si>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</si>
  <si>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</si>
  <si>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</si>
  <si>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</si>
  <si>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</si>
  <si>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</si>
  <si>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</si>
  <si>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</si>
  <si>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</si>
  <si>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</si>
  <si>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</si>
  <si>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</si>
  <si>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</si>
  <si>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</si>
  <si>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</si>
  <si>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</si>
  <si>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</si>
  <si>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</si>
  <si>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</si>
  <si>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</si>
  <si>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</si>
  <si>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</si>
  <si>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</si>
  <si>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</si>
  <si>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</si>
  <si>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</si>
  <si>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</si>
  <si>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</si>
  <si>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</si>
  <si>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</si>
  <si>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</si>
  <si>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</si>
  <si>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</si>
  <si>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</si>
  <si>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</si>
  <si>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</si>
  <si>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</si>
  <si>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</si>
  <si>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</si>
  <si>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</si>
  <si>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</si>
  <si>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</si>
  <si>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</si>
  <si>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</si>
  <si>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</si>
  <si>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</si>
  <si>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</si>
  <si>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</si>
  <si>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</si>
  <si>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</si>
  <si>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</si>
  <si>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</si>
  <si>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</si>
  <si>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</si>
  <si>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</si>
  <si>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</si>
  <si>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</si>
  <si>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</si>
  <si>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</si>
  <si>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</si>
  <si>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</si>
  <si>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</si>
  <si>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</si>
  <si>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</si>
  <si>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</si>
  <si>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</si>
  <si>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</si>
  <si>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</si>
  <si>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</si>
  <si>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</si>
  <si>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</si>
  <si>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</si>
  <si>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</si>
  <si>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</si>
  <si>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</si>
  <si>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</si>
  <si>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</si>
  <si>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</si>
  <si>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</si>
  <si>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</si>
  <si>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</si>
  <si>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</si>
  <si>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</si>
  <si>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</si>
  <si>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</si>
  <si>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</si>
  <si>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</si>
  <si>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</si>
  <si>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</si>
  <si>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</si>
  <si>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</si>
  <si>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</si>
  <si>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</si>
  <si>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</si>
  <si>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</si>
  <si>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</si>
  <si>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</si>
  <si>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</si>
  <si>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</si>
  <si>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</si>
  <si>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</si>
  <si>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</si>
  <si>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</si>
  <si>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</si>
  <si>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</si>
  <si>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</si>
  <si>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</si>
  <si>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</si>
  <si>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</si>
  <si>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</si>
  <si>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</si>
  <si>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</si>
  <si>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</si>
  <si>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</si>
  <si>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</si>
  <si>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</si>
  <si>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</si>
  <si>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</si>
  <si>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</si>
  <si>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</si>
  <si>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</si>
  <si>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</si>
  <si>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</si>
  <si>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</si>
  <si>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</si>
  <si>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</si>
  <si>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</si>
  <si>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</si>
  <si>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</si>
  <si>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</si>
  <si>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</si>
  <si>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</si>
  <si>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</si>
  <si>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</si>
  <si>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</si>
  <si>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</si>
  <si>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</si>
  <si>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</si>
  <si>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</si>
  <si>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</si>
  <si>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</si>
  <si>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</si>
  <si>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</si>
  <si>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</si>
  <si>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</si>
  <si>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</si>
  <si>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</si>
  <si>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</si>
  <si>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</si>
  <si>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</si>
  <si>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</si>
  <si>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</si>
  <si>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</si>
  <si>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</si>
  <si>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</si>
  <si>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</si>
  <si>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</si>
  <si>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</si>
  <si>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</si>
  <si>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</si>
  <si>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</si>
  <si>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</si>
  <si>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</si>
  <si>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</si>
  <si>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</si>
  <si>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</si>
  <si>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</si>
  <si>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</si>
  <si>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</si>
  <si>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</si>
  <si>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</si>
  <si>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</si>
  <si>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</si>
  <si>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</si>
  <si>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</si>
  <si>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</si>
  <si>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</si>
  <si>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</si>
  <si>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</si>
  <si>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</si>
  <si>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</si>
  <si>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</si>
  <si>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</si>
  <si>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</si>
  <si>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</si>
  <si>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</si>
  <si>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</si>
  <si>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</si>
  <si>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</si>
  <si>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</si>
  <si>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</si>
  <si>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</si>
  <si>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</si>
  <si>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</si>
  <si>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</si>
  <si>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</si>
  <si>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</si>
  <si>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</si>
  <si>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</si>
  <si>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</si>
  <si>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</si>
  <si>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</si>
  <si>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</si>
  <si>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</si>
  <si>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</si>
  <si>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</si>
  <si>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</si>
  <si>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</si>
  <si>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</si>
  <si>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</si>
  <si>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</si>
  <si>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</si>
  <si>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</si>
  <si>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</si>
  <si>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</si>
  <si>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</si>
  <si>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</si>
  <si>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</si>
  <si>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</si>
  <si>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</si>
  <si>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</si>
  <si>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</si>
  <si>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</si>
  <si>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</si>
  <si>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</si>
  <si>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</si>
  <si>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</si>
  <si>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</si>
  <si>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</si>
  <si>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</si>
  <si>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</si>
  <si>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</si>
  <si>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</si>
  <si>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</si>
  <si>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</si>
  <si>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</si>
  <si>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</si>
  <si>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</si>
  <si>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</si>
  <si>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</si>
  <si>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</si>
  <si>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</si>
  <si>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</si>
  <si>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</si>
  <si>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Purchase Amount (INR)</t>
  </si>
  <si>
    <t>Gender</t>
  </si>
  <si>
    <t>Delhi</t>
  </si>
  <si>
    <t>Mumbai</t>
  </si>
  <si>
    <t>Bangalore</t>
  </si>
  <si>
    <t xml:space="preserve">Representative  </t>
  </si>
  <si>
    <t>Total Duration</t>
  </si>
  <si>
    <t>Calls Count</t>
  </si>
  <si>
    <t>Total Amounts</t>
  </si>
  <si>
    <t>Avg. Rating</t>
  </si>
  <si>
    <t>5*Calls</t>
  </si>
  <si>
    <t>Row Labels</t>
  </si>
  <si>
    <t>Grand Total</t>
  </si>
  <si>
    <t>Jan</t>
  </si>
  <si>
    <t>Feb</t>
  </si>
  <si>
    <t>Mar</t>
  </si>
  <si>
    <t>Apr</t>
  </si>
  <si>
    <t>May</t>
  </si>
  <si>
    <t>Jun</t>
  </si>
  <si>
    <t>Jul</t>
  </si>
  <si>
    <t>Aug</t>
  </si>
  <si>
    <t>Sep</t>
  </si>
  <si>
    <t>Oct</t>
  </si>
  <si>
    <t>Nov</t>
  </si>
  <si>
    <t>Dec</t>
  </si>
  <si>
    <t>Calls Count2</t>
  </si>
  <si>
    <t>Friday</t>
  </si>
  <si>
    <t>Monday</t>
  </si>
  <si>
    <t>Saturday</t>
  </si>
  <si>
    <t>Sunday</t>
  </si>
  <si>
    <t>Thursday</t>
  </si>
  <si>
    <t>Tuesday</t>
  </si>
  <si>
    <t>Wednesday</t>
  </si>
  <si>
    <t>call count= countrow(calls)</t>
  </si>
  <si>
    <t>total amount=sum(calls{purchase amount])</t>
  </si>
  <si>
    <t>total duration=sum(calls[duration])</t>
  </si>
  <si>
    <t>avg.rating=average(calls[satisfaction rating])</t>
  </si>
  <si>
    <t>5*calls=calculate([call count], calls[rating rounded]=5)</t>
  </si>
  <si>
    <t>FOR GRAPH</t>
  </si>
  <si>
    <t>Rep</t>
  </si>
  <si>
    <t>Calls</t>
  </si>
  <si>
    <t>Amount</t>
  </si>
  <si>
    <t>Set.Amount</t>
  </si>
  <si>
    <t>Sel.Calls</t>
  </si>
  <si>
    <t>selected rep</t>
  </si>
  <si>
    <t>Column Labels</t>
  </si>
  <si>
    <t xml:space="preserve"> Total</t>
  </si>
  <si>
    <t xml:space="preserve">rep summary </t>
  </si>
  <si>
    <t xml:space="preserve">% of calls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</si>
</sst>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0;#,##0\ \-&quot;₹&quot;;&quot;₹&quot;#,##0"/>
    <numFmt numFmtId="166" formatCode="0.0"/>
    <numFmt numFmtId="167" formatCode="[$₹-439]#,###.0,&quot;K&quot;"/>
  </numFmts>
  <fonts count="11" x14ac:knownFonts="1">
    <font>
      <sz val="11"/>
      <color theme="1"/>
      <name val="Aptos"/>
      <family val="2"/>
      <scheme val="minor"/>
    </font>
    <font>
      <sz val="8"/>
      <name val="Aptos"/>
      <family val="2"/>
      <scheme val="minor"/>
    </font>
    <font>
      <b/>
      <sz val="11"/>
      <color rgb="FFC00000"/>
      <name val="Aptos"/>
      <family val="2"/>
      <scheme val="minor"/>
    </font>
    <font>
      <sz val="11"/>
      <color rgb="FFC00000"/>
      <name val="Aptos"/>
      <family val="2"/>
      <scheme val="minor"/>
    </font>
    <font>
      <sz val="18"/>
      <color rgb="FFC00000"/>
      <name val="Aptos ExtraBold"/>
      <family val="2"/>
    </font>
    <font>
      <sz val="11"/>
      <color rgb="FFF5D7F1"/>
      <name val="Aptos"/>
      <family val="2"/>
      <scheme val="minor"/>
    </font>
    <font>
      <sz val="11"/>
      <color theme="1"/>
      <name val="Aptos"/>
      <family val="2"/>
      <scheme val="minor"/>
    </font>
    <font>
      <sz val="10"/>
      <color theme="0"/>
      <name val="Aptos"/>
      <family val="2"/>
      <scheme val="minor"/>
    </font>
    <font>
      <sz val="10"/>
      <color theme="0"/>
      <name val="Arial"/>
      <family val="2"/>
    </font>
    <font>
      <b/>
      <sz val="10"/>
      <color theme="0"/>
      <name val="Arial Black"/>
      <family val="2"/>
    </font>
    <font>
      <b/>
      <u/>
      <sz val="10"/>
      <color theme="0"/>
      <name val="Arial Black"/>
      <family val="2"/>
    </font>
  </fonts>
  <fills count="5">
    <fill>
      <patternFill patternType="none"/>
    </fill>
    <fill>
      <patternFill patternType="gray125"/>
    </fill>
    <fill>
      <patternFill patternType="solid">
        <fgColor theme="2" tint="-9.9978637043366805E-2"/>
        <bgColor indexed="64"/>
      </patternFill>
    </fill>
    <fill>
      <patternFill patternType="solid">
        <fgColor theme="4" tint="-0.249977111117893"/>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6"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2" borderId="0" xfId="0" applyFill="1"/>
    <xf numFmtId="0" fontId="2" fillId="2" borderId="4" xfId="0" applyFont="1" applyFill="1" applyBorder="1"/>
    <xf numFmtId="0" fontId="2" fillId="2" borderId="5" xfId="0" applyFont="1" applyFill="1" applyBorder="1"/>
    <xf numFmtId="0" fontId="2" fillId="2" borderId="6" xfId="0" applyFont="1" applyFill="1" applyBorder="1"/>
    <xf numFmtId="0" fontId="2" fillId="2" borderId="0" xfId="0" applyFont="1" applyFill="1"/>
    <xf numFmtId="0" fontId="2" fillId="2" borderId="0" xfId="0" applyFont="1" applyFill="1" applyAlignment="1">
      <alignment horizontal="right"/>
    </xf>
    <xf numFmtId="0" fontId="2" fillId="2" borderId="0" xfId="0" applyFont="1" applyFill="1" applyAlignment="1">
      <alignment horizontal="center"/>
    </xf>
    <xf numFmtId="0" fontId="3" fillId="2" borderId="0" xfId="0" applyFont="1" applyFill="1"/>
    <xf numFmtId="0" fontId="4" fillId="2" borderId="0" xfId="0" applyFont="1" applyFill="1" applyAlignment="1">
      <alignment vertical="center"/>
    </xf>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5" fillId="3" borderId="0" xfId="0" applyFont="1" applyFill="1"/>
    <xf numFmtId="167" fontId="0" fillId="0" borderId="0" xfId="0" applyNumberFormat="1"/>
    <xf numFmtId="0" fontId="0" fillId="4" borderId="0" xfId="0" applyFill="1" applyAlignment="1">
      <alignment horizontal="left"/>
    </xf>
    <xf numFmtId="0" fontId="0" fillId="0" borderId="0" xfId="0" applyAlignment="1">
      <alignment horizontal="left" indent="1"/>
    </xf>
    <xf numFmtId="9" fontId="0" fillId="0" borderId="0" xfId="1" applyFont="1"/>
    <xf numFmtId="0" fontId="7" fillId="3" borderId="9" xfId="0" applyFont="1" applyFill="1" applyBorder="1" applyAlignment="1">
      <alignment horizontal="right" indent="1"/>
    </xf>
    <xf numFmtId="0" fontId="7" fillId="3" borderId="0" xfId="0" applyFont="1" applyFill="1" applyAlignment="1">
      <alignment horizontal="right" indent="1"/>
    </xf>
    <xf numFmtId="0" fontId="7" fillId="3" borderId="12" xfId="0" applyFont="1" applyFill="1" applyBorder="1" applyAlignment="1">
      <alignment horizontal="right" indent="1"/>
    </xf>
    <xf numFmtId="167" fontId="7" fillId="3" borderId="0" xfId="0" applyNumberFormat="1" applyFont="1" applyFill="1" applyAlignment="1">
      <alignment horizontal="right" indent="1"/>
    </xf>
    <xf numFmtId="167" fontId="7" fillId="3" borderId="12" xfId="0" applyNumberFormat="1" applyFont="1" applyFill="1" applyBorder="1" applyAlignment="1">
      <alignment horizontal="right" indent="1"/>
    </xf>
    <xf numFmtId="0" fontId="8" fillId="3" borderId="11" xfId="0" applyFont="1" applyFill="1" applyBorder="1" applyAlignment="1">
      <alignment horizontal="right" indent="1"/>
    </xf>
    <xf numFmtId="167" fontId="8" fillId="3" borderId="0" xfId="0" applyNumberFormat="1" applyFont="1" applyFill="1" applyAlignment="1">
      <alignment horizontal="right" indent="1"/>
    </xf>
    <xf numFmtId="167" fontId="8" fillId="3" borderId="12" xfId="0" applyNumberFormat="1" applyFont="1" applyFill="1" applyBorder="1" applyAlignment="1">
      <alignment horizontal="right" indent="1"/>
    </xf>
    <xf numFmtId="0" fontId="8" fillId="3" borderId="6" xfId="0" applyFont="1" applyFill="1" applyBorder="1" applyAlignment="1">
      <alignment horizontal="right" indent="1"/>
    </xf>
    <xf numFmtId="167" fontId="8" fillId="3" borderId="13" xfId="0" applyNumberFormat="1" applyFont="1" applyFill="1" applyBorder="1" applyAlignment="1">
      <alignment horizontal="right" indent="1"/>
    </xf>
    <xf numFmtId="167" fontId="8" fillId="3" borderId="4" xfId="0" applyNumberFormat="1" applyFont="1" applyFill="1" applyBorder="1" applyAlignment="1">
      <alignment horizontal="right" indent="1"/>
    </xf>
    <xf numFmtId="0" fontId="9" fillId="3" borderId="10" xfId="0" applyFont="1" applyFill="1" applyBorder="1" applyAlignment="1">
      <alignment horizontal="right" indent="1"/>
    </xf>
    <xf numFmtId="0" fontId="9" fillId="3" borderId="7" xfId="0" applyFont="1" applyFill="1" applyBorder="1" applyAlignment="1">
      <alignment horizontal="right" indent="1"/>
    </xf>
    <xf numFmtId="0" fontId="10" fillId="3" borderId="11" xfId="0" applyFont="1" applyFill="1" applyBorder="1" applyAlignment="1">
      <alignment horizontal="center"/>
    </xf>
  </cellXfs>
  <cellStyles count="2">
    <cellStyle name="Normal" xfId="0" builtinId="0"/>
    <cellStyle name="Percent" xfId="1" builtinId="5"/>
  </cellStyles>
  <dxfs count="23">
    <dxf>
      <fill>
        <patternFill patternType="solid">
          <bgColor rgb="FFFFFF00"/>
        </patternFill>
      </fill>
    </dxf>
    <dxf>
      <fill>
        <patternFill patternType="solid">
          <bgColor rgb="FFFFFF00"/>
        </patternFill>
      </fill>
    </dxf>
    <dxf>
      <fill>
        <patternFill>
          <bgColor theme="4" tint="0.599963377788628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C00000"/>
        <name val="Aptos"/>
        <family val="2"/>
        <scheme val="minor"/>
      </font>
      <fill>
        <patternFill patternType="solid">
          <fgColor indexed="64"/>
          <bgColor theme="2" tint="-9.9978637043366805E-2"/>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strike val="0"/>
        <outline val="0"/>
        <shadow val="0"/>
        <u val="none"/>
        <vertAlign val="baseline"/>
        <sz val="11"/>
        <color rgb="FFC00000"/>
        <name val="Aptos"/>
        <family val="2"/>
        <scheme val="minor"/>
      </font>
      <fill>
        <patternFill patternType="solid">
          <fgColor indexed="64"/>
          <bgColor theme="2" tint="-9.9978637043366805E-2"/>
        </patternFill>
      </fill>
    </dxf>
    <dxf>
      <fill>
        <patternFill patternType="solid">
          <bgColor rgb="FFFFFF00"/>
        </patternFill>
      </fill>
    </dxf>
    <dxf>
      <fill>
        <patternFill>
          <fgColor theme="1"/>
        </patternFill>
      </fill>
    </dxf>
    <dxf>
      <fill>
        <patternFill>
          <fgColor theme="2" tint="-0.24994659260841701"/>
        </patternFill>
      </fill>
    </dxf>
    <dxf>
      <font>
        <color theme="0"/>
      </font>
      <fill>
        <patternFill>
          <bgColor theme="0" tint="-0.24994659260841701"/>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2"/>
    </tableStyle>
    <tableStyle name="Slicer Style 2" pivot="0" table="0" count="1" xr9:uid="{404E0C73-44AF-491F-97C8-D6842E4DCF61}">
      <tableStyleElement type="wholeTable" dxfId="21"/>
    </tableStyle>
    <tableStyle name="Slicer Style 3" pivot="0" table="0" count="4" xr9:uid="{85BAD584-0C78-4D7F-9B6F-7BBFB3657064}">
      <tableStyleElement type="wholeTable" dxfId="20"/>
      <tableStyleElement type="headerRow" dxfId="19"/>
    </tableStyle>
  </tableStyles>
  <colors>
    <mruColors>
      <color rgb="FFBA0A88"/>
      <color rgb="FFD466CC"/>
      <color rgb="FFFF00FF"/>
      <color rgb="FFF4A574"/>
      <color rgb="FFCD05C3"/>
      <color rgb="FFF5D7F1"/>
      <color rgb="FFF18745"/>
      <color rgb="FFE90DAA"/>
      <color rgb="FFC1C8E9"/>
      <color rgb="FFD25A10"/>
    </mruColors>
  </colors>
  <extLst>
    <ext xmlns:x14="http://schemas.microsoft.com/office/spreadsheetml/2009/9/main" uri="{46F421CA-312F-682f-3DD2-61675219B42D}">
      <x14:dxfs count="2">
        <dxf>
          <fill>
            <patternFill>
              <bgColor theme="5" tint="0.3999450666829432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[sample-data-excel-portfolio-project.xlsx]pivot!MONTHLY TREND</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2400" b="1">
                <a:solidFill>
                  <a:schemeClr val="tx1"/>
                </a:solidFill>
                <a:latin typeface="Arial Black" panose="020B0A04020102020204" pitchFamily="34" charset="0"/>
              </a:rPr>
              <a:t>Call</a:t>
            </a:r>
            <a:r>
              <a:rPr lang="en-US" sz="2400" b="1" baseline="0">
                <a:solidFill>
                  <a:schemeClr val="tx1"/>
                </a:solidFill>
                <a:latin typeface="Arial Black" panose="020B0A04020102020204" pitchFamily="34" charset="0"/>
              </a:rPr>
              <a:t> Trend</a:t>
            </a:r>
            <a:endParaRPr lang="en-US" sz="2400" b="1">
              <a:solidFill>
                <a:schemeClr val="tx1"/>
              </a:solidFill>
              <a:latin typeface="Arial Black" panose="020B0A04020102020204" pitchFamily="34" charset="0"/>
            </a:endParaRPr>
          </a:p>
        </c:rich>
      </c:tx>
      <c:layout>
        <c:manualLayout>
          <c:xMode val="edge"/>
          <c:yMode val="edge"/>
          <c:x val="4.0972222222222222E-2"/>
          <c:y val="2.7777777777777776E-2"/>
        </c:manualLayout>
      </c:layout>
      <c:overlay val="0"/>
      <c:spPr>
        <a:solidFill>
          <a:schemeClr val="bg1">
            <a:lumMod val="95000"/>
            <a:alpha val="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74000">
                <a:srgbClr val="7030A0"/>
              </a:gs>
              <a:gs pos="100000">
                <a:schemeClr val="accent1">
                  <a:lumMod val="30000"/>
                  <a:lumOff val="70000"/>
                </a:schemeClr>
              </a:gs>
            </a:gsLst>
            <a:lin ang="5400000" scaled="1"/>
          </a:gradFill>
          <a:ln w="25400" cmpd="sng">
            <a:solidFill>
              <a:schemeClr val="accent1">
                <a:shade val="15000"/>
                <a:alpha val="5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sq">
            <a:solidFill>
              <a:srgbClr val="7030A0">
                <a:alpha val="54000"/>
              </a:srgbClr>
            </a:solidFill>
            <a:miter lim="800000"/>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pivot!$C$12</c:f>
              <c:strCache>
                <c:ptCount val="1"/>
                <c:pt idx="0">
                  <c:v>Calls Count2</c:v>
                </c:pt>
              </c:strCache>
            </c:strRef>
          </c:tx>
          <c:spPr>
            <a:gradFill>
              <a:gsLst>
                <a:gs pos="74000">
                  <a:srgbClr val="7030A0"/>
                </a:gs>
                <a:gs pos="100000">
                  <a:schemeClr val="accent1">
                    <a:lumMod val="30000"/>
                    <a:lumOff val="70000"/>
                  </a:schemeClr>
                </a:gs>
              </a:gsLst>
              <a:lin ang="5400000" scaled="1"/>
            </a:gradFill>
            <a:ln w="25400" cmpd="sng">
              <a:solidFill>
                <a:schemeClr val="accent1">
                  <a:shade val="15000"/>
                  <a:alpha val="55000"/>
                </a:schemeClr>
              </a:solidFill>
              <a:prstDash val="solid"/>
            </a:ln>
            <a:effectLst/>
          </c:spPr>
          <c:cat>
            <c:strRef>
              <c:f>pivot!$A$13:$A$25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pivot!$C$13:$C$25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E707-4553-8AF6-CD434C235A28}"/>
            </c:ext>
          </c:extLst>
        </c:ser>
        <c:dLbls>
          <c:showLegendKey val="0"/>
          <c:showVal val="0"/>
          <c:showCatName val="0"/>
          <c:showSerName val="0"/>
          <c:showPercent val="0"/>
          <c:showBubbleSize val="0"/>
        </c:dLbls>
        <c:axId val="1861003872"/>
        <c:axId val="1861005312"/>
      </c:areaChart>
      <c:lineChart>
        <c:grouping val="standard"/>
        <c:varyColors val="0"/>
        <c:ser>
          <c:idx val="0"/>
          <c:order val="0"/>
          <c:tx>
            <c:strRef>
              <c:f>pivot!$B$12</c:f>
              <c:strCache>
                <c:ptCount val="1"/>
                <c:pt idx="0">
                  <c:v>Calls Count</c:v>
                </c:pt>
              </c:strCache>
            </c:strRef>
          </c:tx>
          <c:spPr>
            <a:ln w="28575" cap="sq">
              <a:solidFill>
                <a:srgbClr val="7030A0">
                  <a:alpha val="54000"/>
                </a:srgbClr>
              </a:solidFill>
              <a:miter lim="800000"/>
            </a:ln>
            <a:effectLst/>
          </c:spPr>
          <c:marker>
            <c:symbol val="circle"/>
            <c:size val="5"/>
            <c:spPr>
              <a:solidFill>
                <a:schemeClr val="accent1"/>
              </a:solidFill>
              <a:ln w="9525">
                <a:solidFill>
                  <a:schemeClr val="accent1"/>
                </a:solidFill>
              </a:ln>
              <a:effectLst/>
            </c:spPr>
          </c:marker>
          <c:cat>
            <c:strRef>
              <c:f>pivot!$A$13:$A$25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pivot!$B$13:$B$25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E707-4553-8AF6-CD434C235A28}"/>
            </c:ext>
          </c:extLst>
        </c:ser>
        <c:dLbls>
          <c:showLegendKey val="0"/>
          <c:showVal val="0"/>
          <c:showCatName val="0"/>
          <c:showSerName val="0"/>
          <c:showPercent val="0"/>
          <c:showBubbleSize val="0"/>
        </c:dLbls>
        <c:marker val="1"/>
        <c:smooth val="0"/>
        <c:axId val="1861003872"/>
        <c:axId val="1861005312"/>
      </c:lineChart>
      <c:catAx>
        <c:axId val="1861003872"/>
        <c:scaling>
          <c:orientation val="minMax"/>
        </c:scaling>
        <c:delete val="0"/>
        <c:axPos val="b"/>
        <c:numFmt formatCode="General" sourceLinked="1"/>
        <c:majorTickMark val="out"/>
        <c:minorTickMark val="none"/>
        <c:tickLblPos val="nextTo"/>
        <c:spPr>
          <a:solidFill>
            <a:schemeClr val="bg1">
              <a:alpha val="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61005312"/>
        <c:crosses val="autoZero"/>
        <c:auto val="1"/>
        <c:lblAlgn val="ctr"/>
        <c:lblOffset val="100"/>
        <c:noMultiLvlLbl val="0"/>
      </c:catAx>
      <c:valAx>
        <c:axId val="1861005312"/>
        <c:scaling>
          <c:orientation val="minMax"/>
        </c:scaling>
        <c:delete val="0"/>
        <c:axPos val="l"/>
        <c:majorGridlines>
          <c:spPr>
            <a:ln w="9525" cap="flat" cmpd="sng" algn="ctr">
              <a:solidFill>
                <a:schemeClr val="tx1">
                  <a:lumMod val="65000"/>
                  <a:lumOff val="35000"/>
                </a:schemeClr>
              </a:solidFill>
              <a:round/>
            </a:ln>
            <a:effectLst/>
          </c:spPr>
        </c:majorGridlines>
        <c:numFmt formatCode="#,##0" sourceLinked="1"/>
        <c:majorTickMark val="none"/>
        <c:minorTickMark val="none"/>
        <c:tickLblPos val="nextTo"/>
        <c:spPr>
          <a:solidFill>
            <a:schemeClr val="bg1">
              <a:alpha val="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610038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[sample-data-excel-portfolio-project.xlsx]pivot!WEEKDAY TREND</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8745"/>
          </a:solidFill>
          <a:ln w="34925">
            <a:solidFill>
              <a:srgbClr val="BA0A8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18745"/>
          </a:solidFill>
          <a:ln w="34925">
            <a:solidFill>
              <a:srgbClr val="BA0A88"/>
            </a:solidFill>
          </a:ln>
          <a:effectLst/>
        </c:spPr>
      </c:pivotFmt>
      <c:pivotFmt>
        <c:idx val="4"/>
        <c:spPr>
          <a:solidFill>
            <a:srgbClr val="F18745"/>
          </a:solidFill>
          <a:ln w="34925">
            <a:solidFill>
              <a:srgbClr val="BA0A88"/>
            </a:solidFill>
          </a:ln>
          <a:effectLst/>
        </c:spPr>
        <c:dLbl>
          <c:idx val="0"/>
          <c:layout>
            <c:manualLayout>
              <c:x val="9.5875695192124723E-3"/>
              <c:y val="4.5710452000786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8745"/>
          </a:solidFill>
          <a:ln w="34925">
            <a:solidFill>
              <a:srgbClr val="BA0A88"/>
            </a:solidFill>
          </a:ln>
          <a:effectLst/>
        </c:spPr>
        <c:dLbl>
          <c:idx val="0"/>
          <c:layout>
            <c:manualLayout>
              <c:x val="-1.0007876234726317E-2"/>
              <c:y val="-4.19007636261902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8745"/>
          </a:solidFill>
          <a:ln w="34925">
            <a:solidFill>
              <a:srgbClr val="BA0A88"/>
            </a:solidFill>
          </a:ln>
          <a:effectLst/>
        </c:spPr>
        <c:dLbl>
          <c:idx val="0"/>
          <c:layout>
            <c:manualLayout>
              <c:x val="-4.5232748942050961E-3"/>
              <c:y val="-4.19007636261902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8745"/>
          </a:solidFill>
          <a:ln w="34925">
            <a:solidFill>
              <a:srgbClr val="BA0A88"/>
            </a:solidFill>
          </a:ln>
          <a:effectLst/>
        </c:spPr>
      </c:pivotFmt>
      <c:pivotFmt>
        <c:idx val="8"/>
        <c:spPr>
          <a:solidFill>
            <a:srgbClr val="F18745"/>
          </a:solidFill>
          <a:ln w="34925">
            <a:solidFill>
              <a:srgbClr val="BA0A88"/>
            </a:solidFill>
          </a:ln>
          <a:effectLst/>
        </c:spPr>
      </c:pivotFmt>
      <c:pivotFmt>
        <c:idx val="9"/>
        <c:spPr>
          <a:solidFill>
            <a:srgbClr val="F18745"/>
          </a:solidFill>
          <a:ln w="34925">
            <a:solidFill>
              <a:srgbClr val="BA0A88"/>
            </a:solidFill>
          </a:ln>
          <a:effectLst/>
        </c:spPr>
      </c:pivotFmt>
    </c:pivotFmts>
    <c:plotArea>
      <c:layout/>
      <c:barChart>
        <c:barDir val="bar"/>
        <c:grouping val="stacked"/>
        <c:varyColors val="0"/>
        <c:ser>
          <c:idx val="0"/>
          <c:order val="0"/>
          <c:tx>
            <c:strRef>
              <c:f>pivot!$G$13</c:f>
              <c:strCache>
                <c:ptCount val="1"/>
                <c:pt idx="0">
                  <c:v>Total</c:v>
                </c:pt>
              </c:strCache>
            </c:strRef>
          </c:tx>
          <c:spPr>
            <a:solidFill>
              <a:srgbClr val="F18745"/>
            </a:solidFill>
            <a:ln w="34925">
              <a:solidFill>
                <a:srgbClr val="BA0A88"/>
              </a:solidFill>
            </a:ln>
            <a:effectLst/>
          </c:spPr>
          <c:invertIfNegative val="0"/>
          <c:dPt>
            <c:idx val="4"/>
            <c:invertIfNegative val="0"/>
            <c:bubble3D val="0"/>
            <c:extLst>
              <c:ext xmlns:c16="http://schemas.microsoft.com/office/drawing/2014/chart" uri="{C3380CC4-5D6E-409C-BE32-E72D297353CC}">
                <c16:uniqueId val="{00000002-54C6-4151-AEF3-CCFC41823028}"/>
              </c:ext>
            </c:extLst>
          </c:dPt>
          <c:dPt>
            <c:idx val="5"/>
            <c:invertIfNegative val="0"/>
            <c:bubble3D val="0"/>
            <c:extLst>
              <c:ext xmlns:c16="http://schemas.microsoft.com/office/drawing/2014/chart" uri="{C3380CC4-5D6E-409C-BE32-E72D297353CC}">
                <c16:uniqueId val="{00000001-54C6-4151-AEF3-CCFC41823028}"/>
              </c:ext>
            </c:extLst>
          </c:dPt>
          <c:dPt>
            <c:idx val="6"/>
            <c:invertIfNegative val="0"/>
            <c:bubble3D val="0"/>
            <c:extLst>
              <c:ext xmlns:c16="http://schemas.microsoft.com/office/drawing/2014/chart" uri="{C3380CC4-5D6E-409C-BE32-E72D297353CC}">
                <c16:uniqueId val="{00000000-54C6-4151-AEF3-CCFC41823028}"/>
              </c:ext>
            </c:extLst>
          </c:dPt>
          <c:dLbls>
            <c:dLbl>
              <c:idx val="4"/>
              <c:layout>
                <c:manualLayout>
                  <c:x val="-4.5232748942050961E-3"/>
                  <c:y val="-4.190076362619029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C6-4151-AEF3-CCFC41823028}"/>
                </c:ext>
              </c:extLst>
            </c:dLbl>
            <c:dLbl>
              <c:idx val="5"/>
              <c:layout>
                <c:manualLayout>
                  <c:x val="-1.0007876234726317E-2"/>
                  <c:y val="-4.190076362619029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C6-4151-AEF3-CCFC41823028}"/>
                </c:ext>
              </c:extLst>
            </c:dLbl>
            <c:dLbl>
              <c:idx val="6"/>
              <c:layout>
                <c:manualLayout>
                  <c:x val="9.5875695192124723E-3"/>
                  <c:y val="4.57104520007860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C6-4151-AEF3-CCFC418230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pivot!$F$14:$F$21</c:f>
              <c:strCache>
                <c:ptCount val="7"/>
                <c:pt idx="0">
                  <c:v>Sunday</c:v>
                </c:pt>
                <c:pt idx="1">
                  <c:v>Monday</c:v>
                </c:pt>
                <c:pt idx="2">
                  <c:v>Tuesday</c:v>
                </c:pt>
                <c:pt idx="3">
                  <c:v>Wednesday</c:v>
                </c:pt>
                <c:pt idx="4">
                  <c:v>Thursday</c:v>
                </c:pt>
                <c:pt idx="5">
                  <c:v>Friday</c:v>
                </c:pt>
                <c:pt idx="6">
                  <c:v>Saturday</c:v>
                </c:pt>
              </c:strCache>
            </c:strRef>
          </c:cat>
          <c:val>
            <c:numRef>
              <c:f>pivot!$G$14:$G$21</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E16D-4B9E-A768-F3658A90D75F}"/>
            </c:ext>
          </c:extLst>
        </c:ser>
        <c:dLbls>
          <c:dLblPos val="ctr"/>
          <c:showLegendKey val="0"/>
          <c:showVal val="1"/>
          <c:showCatName val="0"/>
          <c:showSerName val="0"/>
          <c:showPercent val="0"/>
          <c:showBubbleSize val="0"/>
        </c:dLbls>
        <c:gapWidth val="30"/>
        <c:overlap val="50"/>
        <c:axId val="1868606240"/>
        <c:axId val="1868607680"/>
      </c:barChart>
      <c:catAx>
        <c:axId val="1868606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68607680"/>
        <c:crosses val="autoZero"/>
        <c:auto val="1"/>
        <c:lblAlgn val="ctr"/>
        <c:lblOffset val="100"/>
        <c:noMultiLvlLbl val="0"/>
      </c:catAx>
      <c:valAx>
        <c:axId val="1868607680"/>
        <c:scaling>
          <c:orientation val="minMax"/>
        </c:scaling>
        <c:delete val="1"/>
        <c:axPos val="b"/>
        <c:numFmt formatCode="#,##0" sourceLinked="1"/>
        <c:majorTickMark val="out"/>
        <c:minorTickMark val="none"/>
        <c:tickLblPos val="nextTo"/>
        <c:crossAx val="18686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solidFill>
                <a:latin typeface="Arial Black" panose="020B0A04020102020204" pitchFamily="34" charset="0"/>
                <a:ea typeface="+mn-ea"/>
                <a:cs typeface="+mn-cs"/>
              </a:defRPr>
            </a:pPr>
            <a:r>
              <a:rPr lang="en-US" sz="2400" b="1">
                <a:solidFill>
                  <a:schemeClr val="tx1"/>
                </a:solidFill>
                <a:latin typeface="Arial Black" panose="020B0A04020102020204" pitchFamily="34" charset="0"/>
              </a:rPr>
              <a:t>Calls</a:t>
            </a:r>
          </a:p>
        </c:rich>
      </c:tx>
      <c:layout>
        <c:manualLayout>
          <c:xMode val="edge"/>
          <c:yMode val="edge"/>
          <c:x val="4.2128514066562643E-2"/>
          <c:y val="3.7885906741006573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tx1">
                <a:lumMod val="85000"/>
                <a:lumOff val="15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pivot!$F$31:$F$35</c:f>
              <c:strCache>
                <c:ptCount val="5"/>
                <c:pt idx="0">
                  <c:v>R01</c:v>
                </c:pt>
                <c:pt idx="1">
                  <c:v>R02</c:v>
                </c:pt>
                <c:pt idx="2">
                  <c:v>R03</c:v>
                </c:pt>
                <c:pt idx="3">
                  <c:v>R04</c:v>
                </c:pt>
                <c:pt idx="4">
                  <c:v>R05</c:v>
                </c:pt>
              </c:strCache>
            </c:strRef>
          </c:cat>
          <c:val>
            <c:numRef>
              <c:f>pivot!$G$31:$G$35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878-4DAC-A681-22BA7CB9B3EC}"/>
            </c:ext>
          </c:extLst>
        </c:ser>
        <c:ser>
          <c:idx val="1"/>
          <c:order val="1"/>
          <c:tx>
            <c:strRef>
              <c:f>pivot!$I$30</c:f>
              <c:strCache>
                <c:ptCount val="1"/>
                <c:pt idx="0">
                  <c:v>Sel.Calls</c:v>
                </c:pt>
              </c:strCache>
            </c:strRef>
          </c:tx>
          <c:spPr>
            <a:solidFill>
              <a:srgbClr val="F18745"/>
            </a:solidFill>
            <a:ln>
              <a:noFill/>
            </a:ln>
            <a:effectLst/>
          </c:spPr>
          <c:invertIfNegative val="0"/>
          <c:val>
            <c:numRef>
              <c:f>pivot!$I$31:$I$35</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2878-4DAC-A681-22BA7CB9B3EC}"/>
            </c:ext>
          </c:extLst>
        </c:ser>
        <c:dLbls>
          <c:showLegendKey val="0"/>
          <c:showVal val="0"/>
          <c:showCatName val="0"/>
          <c:showSerName val="0"/>
          <c:showPercent val="0"/>
          <c:showBubbleSize val="0"/>
        </c:dLbls>
        <c:gapWidth val="30"/>
        <c:overlap val="100"/>
        <c:axId val="706471183"/>
        <c:axId val="706463503"/>
      </c:barChart>
      <c:catAx>
        <c:axId val="7064711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6463503"/>
        <c:crosses val="autoZero"/>
        <c:auto val="1"/>
        <c:lblAlgn val="ctr"/>
        <c:lblOffset val="100"/>
        <c:noMultiLvlLbl val="0"/>
      </c:catAx>
      <c:valAx>
        <c:axId val="706463503"/>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647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latin typeface="Arial Black" panose="020B0A04020102020204" pitchFamily="34" charset="0"/>
              </a:rPr>
              <a:t>Amount</a:t>
            </a:r>
          </a:p>
        </c:rich>
      </c:tx>
      <c:layout>
        <c:manualLayout>
          <c:xMode val="edge"/>
          <c:yMode val="edge"/>
          <c:x val="7.5639199639383412E-2"/>
          <c:y val="3.2473662027592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tx1">
                <a:lumMod val="85000"/>
                <a:lumOff val="15000"/>
              </a:schemeClr>
            </a:solidFill>
            <a:ln>
              <a:solidFill>
                <a:schemeClr val="bg1"/>
              </a:solid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D5-4F0E-A741-3464B4FA58D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D5-4F0E-A741-3464B4FA58D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D5-4F0E-A741-3464B4FA58DF}"/>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D5-4F0E-A741-3464B4FA58DF}"/>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D5-4F0E-A741-3464B4FA58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pivot!$F$31:$F$35</c:f>
              <c:strCache>
                <c:ptCount val="5"/>
                <c:pt idx="0">
                  <c:v>R01</c:v>
                </c:pt>
                <c:pt idx="1">
                  <c:v>R02</c:v>
                </c:pt>
                <c:pt idx="2">
                  <c:v>R03</c:v>
                </c:pt>
                <c:pt idx="3">
                  <c:v>R04</c:v>
                </c:pt>
                <c:pt idx="4">
                  <c:v>R05</c:v>
                </c:pt>
              </c:strCache>
            </c:strRef>
          </c:cat>
          <c:val>
            <c:numRef>
              <c:f>pivot!$H$31:$H$35</c:f>
              <c:numCache>
                <c:formatCode>[$₹-439]#,###.0,"K"</c:formatCode>
                <c:ptCount val="5"/>
                <c:pt idx="0">
                  <c:v>1528445</c:v>
                </c:pt>
                <c:pt idx="1">
                  <c:v>1708223</c:v>
                </c:pt>
                <c:pt idx="2">
                  <c:v>1732376</c:v>
                </c:pt>
                <c:pt idx="3">
                  <c:v>1382033</c:v>
                </c:pt>
                <c:pt idx="4">
                  <c:v>1668632</c:v>
                </c:pt>
              </c:numCache>
            </c:numRef>
          </c:val>
          <c:extLst>
            <c:ext xmlns:c16="http://schemas.microsoft.com/office/drawing/2014/chart" uri="{C3380CC4-5D6E-409C-BE32-E72D297353CC}">
              <c16:uniqueId val="{00000005-62D5-4F0E-A741-3464B4FA58DF}"/>
            </c:ext>
          </c:extLst>
        </c:ser>
        <c:ser>
          <c:idx val="1"/>
          <c:order val="1"/>
          <c:tx>
            <c:strRef>
              <c:f>pivot!$J$30</c:f>
              <c:strCache>
                <c:ptCount val="1"/>
                <c:pt idx="0">
                  <c:v>Set.Amount</c:v>
                </c:pt>
              </c:strCache>
            </c:strRef>
          </c:tx>
          <c:spPr>
            <a:solidFill>
              <a:srgbClr val="F18745"/>
            </a:solidFill>
            <a:ln>
              <a:noFill/>
            </a:ln>
            <a:effectLst/>
          </c:spPr>
          <c:invertIfNegative val="0"/>
          <c:val>
            <c:numRef>
              <c:f>pivot!$J$31:$J$35</c:f>
              <c:numCache>
                <c:formatCode>General</c:formatCode>
                <c:ptCount val="5"/>
                <c:pt idx="0">
                  <c:v>#N/A</c:v>
                </c:pt>
                <c:pt idx="1">
                  <c:v>#N/A</c:v>
                </c:pt>
                <c:pt idx="2">
                  <c:v>#N/A</c:v>
                </c:pt>
                <c:pt idx="3">
                  <c:v>#N/A</c:v>
                </c:pt>
                <c:pt idx="4">
                  <c:v>1668632</c:v>
                </c:pt>
              </c:numCache>
            </c:numRef>
          </c:val>
          <c:extLst>
            <c:ext xmlns:c16="http://schemas.microsoft.com/office/drawing/2014/chart" uri="{C3380CC4-5D6E-409C-BE32-E72D297353CC}">
              <c16:uniqueId val="{00000006-62D5-4F0E-A741-3464B4FA58DF}"/>
            </c:ext>
          </c:extLst>
        </c:ser>
        <c:dLbls>
          <c:showLegendKey val="0"/>
          <c:showVal val="0"/>
          <c:showCatName val="0"/>
          <c:showSerName val="0"/>
          <c:showPercent val="0"/>
          <c:showBubbleSize val="0"/>
        </c:dLbls>
        <c:gapWidth val="30"/>
        <c:overlap val="100"/>
        <c:axId val="136387135"/>
        <c:axId val="2140996255"/>
      </c:barChart>
      <c:catAx>
        <c:axId val="136387135"/>
        <c:scaling>
          <c:orientation val="maxMin"/>
        </c:scaling>
        <c:delete val="1"/>
        <c:axPos val="l"/>
        <c:numFmt formatCode="General" sourceLinked="1"/>
        <c:majorTickMark val="none"/>
        <c:minorTickMark val="none"/>
        <c:tickLblPos val="nextTo"/>
        <c:crossAx val="2140996255"/>
        <c:crosses val="autoZero"/>
        <c:auto val="1"/>
        <c:lblAlgn val="ctr"/>
        <c:lblOffset val="100"/>
        <c:noMultiLvlLbl val="0"/>
      </c:catAx>
      <c:valAx>
        <c:axId val="2140996255"/>
        <c:scaling>
          <c:orientation val="minMax"/>
        </c:scaling>
        <c:delete val="1"/>
        <c:axPos val="t"/>
        <c:majorGridlines>
          <c:spPr>
            <a:ln w="9525" cap="flat" cmpd="sng" algn="ctr">
              <a:solidFill>
                <a:schemeClr val="tx1">
                  <a:lumMod val="15000"/>
                  <a:lumOff val="85000"/>
                </a:schemeClr>
              </a:solidFill>
              <a:round/>
            </a:ln>
            <a:effectLst/>
          </c:spPr>
        </c:majorGridlines>
        <c:numFmt formatCode="[$₹-439]#,###.0,&quot;K&quot;" sourceLinked="1"/>
        <c:majorTickMark val="none"/>
        <c:minorTickMark val="none"/>
        <c:tickLblPos val="nextTo"/>
        <c:crossAx val="13638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90000"/>
                  </a:schemeClr>
                </a:solidFill>
              </a:rPr>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pivot!$E$40:$E$41</c:f>
              <c:strCache>
                <c:ptCount val="1"/>
                <c:pt idx="0">
                  <c:v>Female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pivot!$D$42:$D$45</c:f>
              <c:strCache>
                <c:ptCount val="3"/>
                <c:pt idx="0">
                  <c:v>Bangalore</c:v>
                </c:pt>
                <c:pt idx="1">
                  <c:v>Delhi</c:v>
                </c:pt>
                <c:pt idx="2">
                  <c:v>Mumbai</c:v>
                </c:pt>
              </c:strCache>
            </c:strRef>
          </c:cat>
          <c:val>
            <c:numRef>
              <c:f>pivot!$E$42:$E$45</c:f>
              <c:numCache>
                <c:formatCode>#,##0</c:formatCode>
                <c:ptCount val="3"/>
                <c:pt idx="0">
                  <c:v>144</c:v>
                </c:pt>
                <c:pt idx="1">
                  <c:v>129</c:v>
                </c:pt>
                <c:pt idx="2">
                  <c:v>326</c:v>
                </c:pt>
              </c:numCache>
            </c:numRef>
          </c:val>
          <c:extLst>
            <c:ext xmlns:c16="http://schemas.microsoft.com/office/drawing/2014/chart" uri="{C3380CC4-5D6E-409C-BE32-E72D297353CC}">
              <c16:uniqueId val="{00000000-43C9-4750-9B1E-3A1BD84C3802}"/>
            </c:ext>
          </c:extLst>
        </c:ser>
        <c:ser>
          <c:idx val="1"/>
          <c:order val="1"/>
          <c:tx>
            <c:strRef>
              <c:f>pivot!$F$40:$F$41</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pivot!$D$42:$D$45</c:f>
              <c:strCache>
                <c:ptCount val="3"/>
                <c:pt idx="0">
                  <c:v>Bangalore</c:v>
                </c:pt>
                <c:pt idx="1">
                  <c:v>Delhi</c:v>
                </c:pt>
                <c:pt idx="2">
                  <c:v>Mumbai</c:v>
                </c:pt>
              </c:strCache>
            </c:strRef>
          </c:cat>
          <c:val>
            <c:numRef>
              <c:f>pivot!$F$42:$F$45</c:f>
              <c:numCache>
                <c:formatCode>#,##0</c:formatCode>
                <c:ptCount val="3"/>
                <c:pt idx="0">
                  <c:v>132</c:v>
                </c:pt>
                <c:pt idx="1">
                  <c:v>206</c:v>
                </c:pt>
                <c:pt idx="2">
                  <c:v>63</c:v>
                </c:pt>
              </c:numCache>
            </c:numRef>
          </c:val>
          <c:extLst>
            <c:ext xmlns:c16="http://schemas.microsoft.com/office/drawing/2014/chart" uri="{C3380CC4-5D6E-409C-BE32-E72D297353CC}">
              <c16:uniqueId val="{00000001-43C9-4750-9B1E-3A1BD84C3802}"/>
            </c:ext>
          </c:extLst>
        </c:ser>
        <c:dLbls>
          <c:dLblPos val="ctr"/>
          <c:showLegendKey val="0"/>
          <c:showVal val="1"/>
          <c:showCatName val="0"/>
          <c:showSerName val="0"/>
          <c:showPercent val="0"/>
          <c:showBubbleSize val="0"/>
        </c:dLbls>
        <c:gapWidth val="25"/>
        <c:overlap val="100"/>
        <c:axId val="2138039503"/>
        <c:axId val="2138039023"/>
      </c:barChart>
      <c:catAx>
        <c:axId val="213803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38039023"/>
        <c:crosses val="autoZero"/>
        <c:auto val="1"/>
        <c:lblAlgn val="ctr"/>
        <c:lblOffset val="100"/>
        <c:noMultiLvlLbl val="0"/>
      </c:catAx>
      <c:valAx>
        <c:axId val="2138039023"/>
        <c:scaling>
          <c:orientation val="minMax"/>
        </c:scaling>
        <c:delete val="1"/>
        <c:axPos val="l"/>
        <c:numFmt formatCode="#,##0" sourceLinked="1"/>
        <c:majorTickMark val="none"/>
        <c:minorTickMark val="none"/>
        <c:tickLblPos val="nextTo"/>
        <c:crossAx val="213803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[sample-data-excel-portfolio-project.xlsx]pivot!rep satisfaction</c:name>
    <c:fmtId val="8"/>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j-lt"/>
                <a:ea typeface="+mn-ea"/>
                <a:cs typeface="+mn-cs"/>
              </a:defRPr>
            </a:pPr>
            <a:r>
              <a:rPr lang="en-US" sz="2400" b="1">
                <a:solidFill>
                  <a:schemeClr val="tx1"/>
                </a:solidFill>
                <a:latin typeface="Arial Black" panose="020B0A04020102020204" pitchFamily="34" charset="0"/>
              </a:rPr>
              <a:t>Rating</a:t>
            </a:r>
          </a:p>
          <a:p>
            <a:pPr>
              <a:defRPr sz="2400">
                <a:latin typeface="+mj-lt"/>
              </a:defRPr>
            </a:pPr>
            <a:endParaRPr lang="en-US" sz="2400">
              <a:latin typeface="+mj-lt"/>
            </a:endParaRPr>
          </a:p>
        </c:rich>
      </c:tx>
      <c:layout>
        <c:manualLayout>
          <c:xMode val="edge"/>
          <c:yMode val="edge"/>
          <c:x val="6.2425061317463192E-2"/>
          <c:y val="1.891432154654229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pivot!$E$49</c:f>
              <c:strCache>
                <c:ptCount val="1"/>
                <c:pt idx="0">
                  <c:v>Total</c:v>
                </c:pt>
              </c:strCache>
            </c:strRef>
          </c:tx>
          <c:spPr>
            <a:solidFill>
              <a:srgbClr val="7030A0"/>
            </a:solidFill>
            <a:ln>
              <a:noFill/>
            </a:ln>
            <a:effectLst/>
          </c:spPr>
          <c:invertIfNegative val="0"/>
          <c:cat>
            <c:strRef>
              <c:f>pivot!$D$50:$D$54</c:f>
              <c:strCache>
                <c:ptCount val="4"/>
                <c:pt idx="0">
                  <c:v>2</c:v>
                </c:pt>
                <c:pt idx="1">
                  <c:v>3</c:v>
                </c:pt>
                <c:pt idx="2">
                  <c:v>4</c:v>
                </c:pt>
                <c:pt idx="3">
                  <c:v>5</c:v>
                </c:pt>
              </c:strCache>
            </c:strRef>
          </c:cat>
          <c:val>
            <c:numRef>
              <c:f>pivot!$E$50:$E$54</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D39C-4E42-BEF6-81CB6CE897AC}"/>
            </c:ext>
          </c:extLst>
        </c:ser>
        <c:dLbls>
          <c:showLegendKey val="0"/>
          <c:showVal val="0"/>
          <c:showCatName val="0"/>
          <c:showSerName val="0"/>
          <c:showPercent val="0"/>
          <c:showBubbleSize val="0"/>
        </c:dLbls>
        <c:gapWidth val="21"/>
        <c:overlap val="-27"/>
        <c:axId val="2138041423"/>
        <c:axId val="2138038063"/>
      </c:barChart>
      <c:catAx>
        <c:axId val="2138041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38038063"/>
        <c:crosses val="autoZero"/>
        <c:auto val="1"/>
        <c:lblAlgn val="ctr"/>
        <c:lblOffset val="100"/>
        <c:noMultiLvlLbl val="0"/>
      </c:catAx>
      <c:valAx>
        <c:axId val="213803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3804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1</xdr:col>
      <xdr:colOff>413108</xdr:colOff>
      <xdr:row>6</xdr:row>
      <xdr:rowOff>58841</xdr:rowOff>
    </xdr:from>
    <xdr:to>
      <xdr:col>3</xdr:col>
      <xdr:colOff>419129</xdr:colOff>
      <xdr:row>11</xdr:row>
      <xdr:rowOff>7398</xdr:rowOff>
    </xdr:to>
    <xdr:sp macro="" textlink="pivot!A4">
      <xdr:nvSpPr>
        <xdr:cNvPr id="2" name="Rectangle: Rounded Corners 1">
          <a:extLst>
            <a:ext uri="{FF2B5EF4-FFF2-40B4-BE49-F238E27FC236}">
              <a16:creationId xmlns:a16="http://schemas.microsoft.com/office/drawing/2014/main" id="{81995FEB-12BC-E229-1EE9-50F7F375AB5B}"/>
            </a:ext>
          </a:extLst>
        </xdr:cNvPr>
        <xdr:cNvSpPr/>
      </xdr:nvSpPr>
      <xdr:spPr>
        <a:xfrm>
          <a:off x="1078126" y="1139496"/>
          <a:ext cx="1336058" cy="849102"/>
        </a:xfrm>
        <a:prstGeom prst="roundRect">
          <a:avLst/>
        </a:prstGeom>
        <a:solidFill>
          <a:schemeClr val="tx1">
            <a:lumMod val="95000"/>
            <a:lumOff val="5000"/>
          </a:schemeClr>
        </a:solidFill>
        <a:effectLst>
          <a:glow rad="139700">
            <a:schemeClr val="accent5">
              <a:satMod val="175000"/>
              <a:alpha val="40000"/>
            </a:schemeClr>
          </a:glow>
          <a:outerShdw blurRad="266700" dir="6900000" sx="42000" sy="42000" algn="ctr" rotWithShape="0">
            <a:srgbClr val="000000">
              <a:alpha val="98000"/>
            </a:srgbClr>
          </a:out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4B7C5754-30D3-40CD-9203-75CF3B6B3BB1}" type="TxLink">
            <a:rPr lang="en-US" sz="1600" b="0" i="0" u="none" strike="noStrike">
              <a:solidFill>
                <a:schemeClr val="bg1"/>
              </a:solidFill>
              <a:latin typeface="Arial" panose="020B0604020202020204" pitchFamily="34" charset="0"/>
              <a:cs typeface="Arial" panose="020B0604020202020204" pitchFamily="34" charset="0"/>
            </a:rPr>
            <a:pPr algn="ctr"/>
            <a:t>1,000</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oneCellAnchor>
    <xdr:from>
      <xdr:col>1</xdr:col>
      <xdr:colOff>430696</xdr:colOff>
      <xdr:row>6</xdr:row>
      <xdr:rowOff>88132</xdr:rowOff>
    </xdr:from>
    <xdr:ext cx="1316935" cy="284586"/>
    <xdr:sp macro="" textlink="">
      <xdr:nvSpPr>
        <xdr:cNvPr id="3" name="TextBox 2">
          <a:extLst>
            <a:ext uri="{FF2B5EF4-FFF2-40B4-BE49-F238E27FC236}">
              <a16:creationId xmlns:a16="http://schemas.microsoft.com/office/drawing/2014/main" id="{F486FE0D-D879-B0AB-6E44-40B46D3EDA49}"/>
            </a:ext>
          </a:extLst>
        </xdr:cNvPr>
        <xdr:cNvSpPr txBox="1"/>
      </xdr:nvSpPr>
      <xdr:spPr>
        <a:xfrm>
          <a:off x="1101587" y="1181436"/>
          <a:ext cx="1316935" cy="284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Calls</a:t>
          </a:r>
        </a:p>
      </xdr:txBody>
    </xdr:sp>
    <xdr:clientData/>
  </xdr:oneCellAnchor>
  <xdr:twoCellAnchor editAs="oneCell">
    <xdr:from>
      <xdr:col>1</xdr:col>
      <xdr:colOff>518682</xdr:colOff>
      <xdr:row>6</xdr:row>
      <xdr:rowOff>140094</xdr:rowOff>
    </xdr:from>
    <xdr:to>
      <xdr:col>2</xdr:col>
      <xdr:colOff>30670</xdr:colOff>
      <xdr:row>8</xdr:row>
      <xdr:rowOff>40</xdr:rowOff>
    </xdr:to>
    <xdr:pic>
      <xdr:nvPicPr>
        <xdr:cNvPr id="4" name="Graphic 3" descr="Receiver with solid fill">
          <a:extLst>
            <a:ext uri="{FF2B5EF4-FFF2-40B4-BE49-F238E27FC236}">
              <a16:creationId xmlns:a16="http://schemas.microsoft.com/office/drawing/2014/main" id="{8BF8A74A-137D-4B9E-A895-056E0736DF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90371" y="1223827"/>
          <a:ext cx="183677" cy="219863"/>
        </a:xfrm>
        <a:prstGeom prst="rect">
          <a:avLst/>
        </a:prstGeom>
      </xdr:spPr>
    </xdr:pic>
    <xdr:clientData/>
  </xdr:twoCellAnchor>
  <xdr:oneCellAnchor>
    <xdr:from>
      <xdr:col>1</xdr:col>
      <xdr:colOff>413589</xdr:colOff>
      <xdr:row>9</xdr:row>
      <xdr:rowOff>86123</xdr:rowOff>
    </xdr:from>
    <xdr:ext cx="1334042" cy="311496"/>
    <xdr:sp macro="" textlink="pivot!A8">
      <xdr:nvSpPr>
        <xdr:cNvPr id="5" name="TextBox 4">
          <a:extLst>
            <a:ext uri="{FF2B5EF4-FFF2-40B4-BE49-F238E27FC236}">
              <a16:creationId xmlns:a16="http://schemas.microsoft.com/office/drawing/2014/main" id="{43DB952A-C238-1B0B-86FE-0CF4EE0A1D87}"/>
            </a:ext>
          </a:extLst>
        </xdr:cNvPr>
        <xdr:cNvSpPr txBox="1"/>
      </xdr:nvSpPr>
      <xdr:spPr>
        <a:xfrm>
          <a:off x="1084480" y="1726080"/>
          <a:ext cx="13340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281A027-3D4D-440B-A590-21A8CE94361F}" type="TxLink">
            <a:rPr lang="en-US" sz="1400" b="0" i="0" u="none" strike="noStrike">
              <a:solidFill>
                <a:schemeClr val="bg1"/>
              </a:solidFill>
              <a:latin typeface="+mj-lt"/>
            </a:rPr>
            <a:pPr algn="ctr"/>
            <a:t>200</a:t>
          </a:fld>
          <a:endParaRPr lang="en-US" sz="1400">
            <a:solidFill>
              <a:schemeClr val="bg1"/>
            </a:solidFill>
            <a:latin typeface="+mj-lt"/>
          </a:endParaRPr>
        </a:p>
      </xdr:txBody>
    </xdr:sp>
    <xdr:clientData/>
  </xdr:oneCellAnchor>
  <xdr:twoCellAnchor>
    <xdr:from>
      <xdr:col>1</xdr:col>
      <xdr:colOff>443507</xdr:colOff>
      <xdr:row>13</xdr:row>
      <xdr:rowOff>80875</xdr:rowOff>
    </xdr:from>
    <xdr:to>
      <xdr:col>3</xdr:col>
      <xdr:colOff>449528</xdr:colOff>
      <xdr:row>18</xdr:row>
      <xdr:rowOff>29431</xdr:rowOff>
    </xdr:to>
    <xdr:sp macro="" textlink="pivot!B4">
      <xdr:nvSpPr>
        <xdr:cNvPr id="6" name="Rectangle: Rounded Corners 5">
          <a:extLst>
            <a:ext uri="{FF2B5EF4-FFF2-40B4-BE49-F238E27FC236}">
              <a16:creationId xmlns:a16="http://schemas.microsoft.com/office/drawing/2014/main" id="{81338110-BB4D-4366-AE1D-4EE80EB0A735}"/>
            </a:ext>
          </a:extLst>
        </xdr:cNvPr>
        <xdr:cNvSpPr/>
      </xdr:nvSpPr>
      <xdr:spPr>
        <a:xfrm>
          <a:off x="1108525" y="2422293"/>
          <a:ext cx="1336058" cy="849102"/>
        </a:xfrm>
        <a:prstGeom prst="roundRect">
          <a:avLst/>
        </a:prstGeom>
        <a:solidFill>
          <a:schemeClr val="tx1">
            <a:lumMod val="95000"/>
            <a:lumOff val="5000"/>
          </a:schemeClr>
        </a:solidFill>
        <a:effectLst>
          <a:glow rad="139700">
            <a:schemeClr val="accent5">
              <a:satMod val="175000"/>
              <a:alpha val="40000"/>
            </a:schemeClr>
          </a:glow>
          <a:outerShdw blurRad="266700" dir="6900000" sx="42000" sy="42000" algn="ctr" rotWithShape="0">
            <a:srgbClr val="000000">
              <a:alpha val="98000"/>
            </a:srgbClr>
          </a:out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679329B5-B670-4734-8650-ED13B96DEED3}" type="TxLink">
            <a:rPr lang="en-US" sz="1600" b="0" i="0" u="none" strike="noStrike">
              <a:solidFill>
                <a:schemeClr val="bg1"/>
              </a:solidFill>
              <a:latin typeface="Arial" panose="020B0604020202020204" pitchFamily="34" charset="0"/>
              <a:cs typeface="Arial" panose="020B0604020202020204" pitchFamily="34" charset="0"/>
            </a:rPr>
            <a:pPr algn="ctr"/>
            <a:t>₹8,019,709</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oneCellAnchor>
    <xdr:from>
      <xdr:col>1</xdr:col>
      <xdr:colOff>472109</xdr:colOff>
      <xdr:row>13</xdr:row>
      <xdr:rowOff>167743</xdr:rowOff>
    </xdr:from>
    <xdr:ext cx="1283804" cy="171844"/>
    <xdr:sp macro="" textlink="">
      <xdr:nvSpPr>
        <xdr:cNvPr id="7" name="TextBox 6">
          <a:extLst>
            <a:ext uri="{FF2B5EF4-FFF2-40B4-BE49-F238E27FC236}">
              <a16:creationId xmlns:a16="http://schemas.microsoft.com/office/drawing/2014/main" id="{BF10B1B3-A707-41B2-81EF-115A5A826CF4}"/>
            </a:ext>
          </a:extLst>
        </xdr:cNvPr>
        <xdr:cNvSpPr txBox="1"/>
      </xdr:nvSpPr>
      <xdr:spPr>
        <a:xfrm>
          <a:off x="1143000" y="2536569"/>
          <a:ext cx="1283804" cy="1718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Amount</a:t>
          </a:r>
        </a:p>
      </xdr:txBody>
    </xdr:sp>
    <xdr:clientData/>
  </xdr:oneCellAnchor>
  <xdr:oneCellAnchor>
    <xdr:from>
      <xdr:col>1</xdr:col>
      <xdr:colOff>434382</xdr:colOff>
      <xdr:row>16</xdr:row>
      <xdr:rowOff>71551</xdr:rowOff>
    </xdr:from>
    <xdr:ext cx="1329814" cy="341419"/>
    <xdr:sp macro="" textlink="pivot!B8">
      <xdr:nvSpPr>
        <xdr:cNvPr id="9" name="TextBox 8">
          <a:extLst>
            <a:ext uri="{FF2B5EF4-FFF2-40B4-BE49-F238E27FC236}">
              <a16:creationId xmlns:a16="http://schemas.microsoft.com/office/drawing/2014/main" id="{7ED99A40-16DE-4BC0-A249-372130183DD5}"/>
            </a:ext>
          </a:extLst>
        </xdr:cNvPr>
        <xdr:cNvSpPr txBox="1"/>
      </xdr:nvSpPr>
      <xdr:spPr>
        <a:xfrm>
          <a:off x="1105273" y="2987029"/>
          <a:ext cx="1329814" cy="341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46D3753-7AE3-4D86-9449-EE0D229604A5}" type="TxLink">
            <a:rPr lang="en-US" sz="1400" b="0" i="0" u="none" strike="noStrike">
              <a:solidFill>
                <a:schemeClr val="bg1"/>
              </a:solidFill>
              <a:latin typeface="+mj-lt"/>
            </a:rPr>
            <a:pPr algn="ctr"/>
            <a:t>₹1,668,632</a:t>
          </a:fld>
          <a:endParaRPr lang="en-US" sz="1400">
            <a:solidFill>
              <a:schemeClr val="bg1"/>
            </a:solidFill>
            <a:latin typeface="+mj-lt"/>
          </a:endParaRPr>
        </a:p>
      </xdr:txBody>
    </xdr:sp>
    <xdr:clientData/>
  </xdr:oneCellAnchor>
  <xdr:twoCellAnchor>
    <xdr:from>
      <xdr:col>1</xdr:col>
      <xdr:colOff>400016</xdr:colOff>
      <xdr:row>20</xdr:row>
      <xdr:rowOff>113740</xdr:rowOff>
    </xdr:from>
    <xdr:to>
      <xdr:col>3</xdr:col>
      <xdr:colOff>406037</xdr:colOff>
      <xdr:row>25</xdr:row>
      <xdr:rowOff>30870</xdr:rowOff>
    </xdr:to>
    <xdr:sp macro="" textlink="pivot!C4">
      <xdr:nvSpPr>
        <xdr:cNvPr id="10" name="Rectangle: Rounded Corners 9">
          <a:extLst>
            <a:ext uri="{FF2B5EF4-FFF2-40B4-BE49-F238E27FC236}">
              <a16:creationId xmlns:a16="http://schemas.microsoft.com/office/drawing/2014/main" id="{F88AA7FA-32B0-4C66-8092-54EB3F4C9917}"/>
            </a:ext>
          </a:extLst>
        </xdr:cNvPr>
        <xdr:cNvSpPr/>
      </xdr:nvSpPr>
      <xdr:spPr>
        <a:xfrm>
          <a:off x="1065034" y="3715922"/>
          <a:ext cx="1336058" cy="873093"/>
        </a:xfrm>
        <a:prstGeom prst="roundRect">
          <a:avLst/>
        </a:prstGeom>
        <a:solidFill>
          <a:schemeClr val="tx1">
            <a:lumMod val="95000"/>
            <a:lumOff val="5000"/>
          </a:schemeClr>
        </a:solidFill>
        <a:effectLst>
          <a:glow rad="139700">
            <a:schemeClr val="accent5">
              <a:satMod val="175000"/>
              <a:alpha val="40000"/>
            </a:schemeClr>
          </a:glow>
          <a:outerShdw blurRad="266700" dir="6900000" sx="42000" sy="42000" algn="ctr" rotWithShape="0">
            <a:srgbClr val="000000">
              <a:alpha val="98000"/>
            </a:srgbClr>
          </a:out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72D8BF4B-72B2-46B2-8A4E-4B33C15D852C}" type="TxLink">
            <a:rPr lang="en-US" sz="1600" b="0" i="0" u="none" strike="noStrike">
              <a:solidFill>
                <a:schemeClr val="bg1"/>
              </a:solidFill>
              <a:latin typeface="Arial" panose="020B0604020202020204" pitchFamily="34" charset="0"/>
              <a:cs typeface="Arial" panose="020B0604020202020204" pitchFamily="34" charset="0"/>
            </a:rPr>
            <a:pPr algn="ctr"/>
            <a:t>89,850</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oneCellAnchor>
    <xdr:from>
      <xdr:col>1</xdr:col>
      <xdr:colOff>466066</xdr:colOff>
      <xdr:row>20</xdr:row>
      <xdr:rowOff>162032</xdr:rowOff>
    </xdr:from>
    <xdr:ext cx="1248434" cy="243816"/>
    <xdr:sp macro="" textlink="">
      <xdr:nvSpPr>
        <xdr:cNvPr id="11" name="TextBox 10">
          <a:extLst>
            <a:ext uri="{FF2B5EF4-FFF2-40B4-BE49-F238E27FC236}">
              <a16:creationId xmlns:a16="http://schemas.microsoft.com/office/drawing/2014/main" id="{EB63547C-32AD-4284-A5B8-7112E97CEACA}"/>
            </a:ext>
          </a:extLst>
        </xdr:cNvPr>
        <xdr:cNvSpPr txBox="1"/>
      </xdr:nvSpPr>
      <xdr:spPr>
        <a:xfrm>
          <a:off x="1136957" y="3806380"/>
          <a:ext cx="1248434" cy="243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Duration</a:t>
          </a:r>
        </a:p>
      </xdr:txBody>
    </xdr:sp>
    <xdr:clientData/>
  </xdr:oneCellAnchor>
  <xdr:oneCellAnchor>
    <xdr:from>
      <xdr:col>1</xdr:col>
      <xdr:colOff>372061</xdr:colOff>
      <xdr:row>23</xdr:row>
      <xdr:rowOff>109301</xdr:rowOff>
    </xdr:from>
    <xdr:ext cx="1334156" cy="311496"/>
    <xdr:sp macro="" textlink="pivot!C8">
      <xdr:nvSpPr>
        <xdr:cNvPr id="13" name="TextBox 12">
          <a:extLst>
            <a:ext uri="{FF2B5EF4-FFF2-40B4-BE49-F238E27FC236}">
              <a16:creationId xmlns:a16="http://schemas.microsoft.com/office/drawing/2014/main" id="{86FC7E3C-75A3-4951-832A-AC64E88BBFC1}"/>
            </a:ext>
          </a:extLst>
        </xdr:cNvPr>
        <xdr:cNvSpPr txBox="1"/>
      </xdr:nvSpPr>
      <xdr:spPr>
        <a:xfrm>
          <a:off x="1040116" y="4430780"/>
          <a:ext cx="133415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D30C77A-BE9C-4022-8F56-684522E68EB5}" type="TxLink">
            <a:rPr lang="en-US" sz="1400" b="0" i="0" u="none" strike="noStrike">
              <a:solidFill>
                <a:schemeClr val="bg1"/>
              </a:solidFill>
              <a:latin typeface="+mj-lt"/>
            </a:rPr>
            <a:pPr algn="ctr"/>
            <a:t>18,209</a:t>
          </a:fld>
          <a:endParaRPr lang="en-US" sz="1400">
            <a:solidFill>
              <a:schemeClr val="bg1"/>
            </a:solidFill>
            <a:latin typeface="+mj-lt"/>
          </a:endParaRPr>
        </a:p>
      </xdr:txBody>
    </xdr:sp>
    <xdr:clientData/>
  </xdr:oneCellAnchor>
  <xdr:twoCellAnchor>
    <xdr:from>
      <xdr:col>1</xdr:col>
      <xdr:colOff>400397</xdr:colOff>
      <xdr:row>27</xdr:row>
      <xdr:rowOff>53805</xdr:rowOff>
    </xdr:from>
    <xdr:to>
      <xdr:col>3</xdr:col>
      <xdr:colOff>406418</xdr:colOff>
      <xdr:row>31</xdr:row>
      <xdr:rowOff>108805</xdr:rowOff>
    </xdr:to>
    <xdr:sp macro="" textlink="pivot!D4">
      <xdr:nvSpPr>
        <xdr:cNvPr id="14" name="Rectangle: Rounded Corners 13">
          <a:extLst>
            <a:ext uri="{FF2B5EF4-FFF2-40B4-BE49-F238E27FC236}">
              <a16:creationId xmlns:a16="http://schemas.microsoft.com/office/drawing/2014/main" id="{E42AC2CA-6B58-4F27-B55D-57BD29C0A80E}"/>
            </a:ext>
          </a:extLst>
        </xdr:cNvPr>
        <xdr:cNvSpPr/>
      </xdr:nvSpPr>
      <xdr:spPr>
        <a:xfrm>
          <a:off x="1065415" y="5083005"/>
          <a:ext cx="1336058" cy="927836"/>
        </a:xfrm>
        <a:prstGeom prst="roundRect">
          <a:avLst/>
        </a:prstGeom>
        <a:solidFill>
          <a:schemeClr val="tx1">
            <a:lumMod val="95000"/>
            <a:lumOff val="5000"/>
          </a:schemeClr>
        </a:solidFill>
        <a:effectLst>
          <a:glow rad="139700">
            <a:schemeClr val="accent5">
              <a:satMod val="175000"/>
              <a:alpha val="40000"/>
            </a:schemeClr>
          </a:glow>
          <a:outerShdw blurRad="266700" dir="6900000" sx="42000" sy="42000" algn="ctr" rotWithShape="0">
            <a:srgbClr val="000000">
              <a:alpha val="98000"/>
            </a:srgbClr>
          </a:out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1A2F708B-CD1F-4FBE-A609-0B5644DA0FB8}" type="TxLink">
            <a:rPr lang="en-US" sz="1600" b="0" i="0" u="none" strike="noStrike">
              <a:solidFill>
                <a:schemeClr val="bg1"/>
              </a:solidFill>
              <a:latin typeface="Arial" panose="020B0604020202020204" pitchFamily="34" charset="0"/>
              <a:cs typeface="Arial" panose="020B0604020202020204" pitchFamily="34" charset="0"/>
            </a:rPr>
            <a:pPr algn="ctr"/>
            <a:t>3.9</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oneCellAnchor>
    <xdr:from>
      <xdr:col>1</xdr:col>
      <xdr:colOff>389282</xdr:colOff>
      <xdr:row>27</xdr:row>
      <xdr:rowOff>140993</xdr:rowOff>
    </xdr:from>
    <xdr:ext cx="1350065" cy="165463"/>
    <xdr:sp macro="" textlink="">
      <xdr:nvSpPr>
        <xdr:cNvPr id="15" name="TextBox 14">
          <a:extLst>
            <a:ext uri="{FF2B5EF4-FFF2-40B4-BE49-F238E27FC236}">
              <a16:creationId xmlns:a16="http://schemas.microsoft.com/office/drawing/2014/main" id="{B72BAD5A-21FB-4E83-A568-5385DF6558B9}"/>
            </a:ext>
          </a:extLst>
        </xdr:cNvPr>
        <xdr:cNvSpPr txBox="1"/>
      </xdr:nvSpPr>
      <xdr:spPr>
        <a:xfrm>
          <a:off x="1060173" y="5209950"/>
          <a:ext cx="1350065" cy="1654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AVG.</a:t>
          </a:r>
          <a:r>
            <a:rPr lang="en-US" sz="1200" b="1" baseline="0">
              <a:solidFill>
                <a:schemeClr val="bg1"/>
              </a:solidFill>
              <a:latin typeface="Arial Black" panose="020B0A04020102020204" pitchFamily="34" charset="0"/>
            </a:rPr>
            <a:t> rating</a:t>
          </a:r>
          <a:endParaRPr lang="en-US" sz="1200" b="1">
            <a:solidFill>
              <a:schemeClr val="bg1"/>
            </a:solidFill>
            <a:latin typeface="Arial Black" panose="020B0A04020102020204" pitchFamily="34" charset="0"/>
          </a:endParaRPr>
        </a:p>
      </xdr:txBody>
    </xdr:sp>
    <xdr:clientData/>
  </xdr:oneCellAnchor>
  <xdr:oneCellAnchor>
    <xdr:from>
      <xdr:col>1</xdr:col>
      <xdr:colOff>393760</xdr:colOff>
      <xdr:row>29</xdr:row>
      <xdr:rowOff>177995</xdr:rowOff>
    </xdr:from>
    <xdr:ext cx="1370436" cy="311496"/>
    <xdr:sp macro="" textlink="pivot!D8">
      <xdr:nvSpPr>
        <xdr:cNvPr id="17" name="TextBox 16">
          <a:extLst>
            <a:ext uri="{FF2B5EF4-FFF2-40B4-BE49-F238E27FC236}">
              <a16:creationId xmlns:a16="http://schemas.microsoft.com/office/drawing/2014/main" id="{0F617185-0819-4063-9FC7-54F072CF7E52}"/>
            </a:ext>
          </a:extLst>
        </xdr:cNvPr>
        <xdr:cNvSpPr txBox="1"/>
      </xdr:nvSpPr>
      <xdr:spPr>
        <a:xfrm>
          <a:off x="1061815" y="5605940"/>
          <a:ext cx="13704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00D8F4-CBF3-402A-8EFA-DFDBB330C0C3}" type="TxLink">
            <a:rPr lang="en-US" sz="1400" b="0" i="0" u="none" strike="noStrike">
              <a:solidFill>
                <a:schemeClr val="bg1"/>
              </a:solidFill>
              <a:latin typeface="+mj-lt"/>
            </a:rPr>
            <a:pPr algn="ctr"/>
            <a:t>3.9</a:t>
          </a:fld>
          <a:endParaRPr lang="en-US" sz="1400">
            <a:solidFill>
              <a:schemeClr val="bg1"/>
            </a:solidFill>
            <a:latin typeface="+mj-lt"/>
          </a:endParaRPr>
        </a:p>
      </xdr:txBody>
    </xdr:sp>
    <xdr:clientData/>
  </xdr:oneCellAnchor>
  <xdr:twoCellAnchor>
    <xdr:from>
      <xdr:col>1</xdr:col>
      <xdr:colOff>443717</xdr:colOff>
      <xdr:row>33</xdr:row>
      <xdr:rowOff>96787</xdr:rowOff>
    </xdr:from>
    <xdr:to>
      <xdr:col>3</xdr:col>
      <xdr:colOff>449738</xdr:colOff>
      <xdr:row>37</xdr:row>
      <xdr:rowOff>82514</xdr:rowOff>
    </xdr:to>
    <xdr:sp macro="" textlink="pivot!E4">
      <xdr:nvSpPr>
        <xdr:cNvPr id="18" name="Rectangle: Rounded Corners 17">
          <a:extLst>
            <a:ext uri="{FF2B5EF4-FFF2-40B4-BE49-F238E27FC236}">
              <a16:creationId xmlns:a16="http://schemas.microsoft.com/office/drawing/2014/main" id="{C74F4D34-3F26-48A9-B993-13D799ABE269}"/>
            </a:ext>
          </a:extLst>
        </xdr:cNvPr>
        <xdr:cNvSpPr/>
      </xdr:nvSpPr>
      <xdr:spPr>
        <a:xfrm>
          <a:off x="1108955" y="6071835"/>
          <a:ext cx="1336497" cy="711441"/>
        </a:xfrm>
        <a:prstGeom prst="roundRect">
          <a:avLst/>
        </a:prstGeom>
        <a:solidFill>
          <a:schemeClr val="tx1">
            <a:lumMod val="95000"/>
            <a:lumOff val="5000"/>
          </a:schemeClr>
        </a:solidFill>
        <a:effectLst>
          <a:glow rad="139700">
            <a:schemeClr val="accent5">
              <a:satMod val="175000"/>
              <a:alpha val="40000"/>
            </a:schemeClr>
          </a:glow>
          <a:outerShdw blurRad="266700" dir="6900000" sx="42000" sy="42000" algn="ctr" rotWithShape="0">
            <a:srgbClr val="000000">
              <a:alpha val="98000"/>
            </a:srgbClr>
          </a:out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fld id="{5430D148-F10C-4F93-9B5A-3E548A8DE176}" type="TxLink">
            <a:rPr lang="en-US" sz="1600" b="0" i="0" u="none" strike="noStrike">
              <a:solidFill>
                <a:schemeClr val="bg1"/>
              </a:solidFill>
              <a:latin typeface="Arial" panose="020B0604020202020204" pitchFamily="34" charset="0"/>
              <a:cs typeface="Arial" panose="020B0604020202020204" pitchFamily="34" charset="0"/>
            </a:rPr>
            <a:pPr algn="ctr"/>
            <a:t>307</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oneCellAnchor>
    <xdr:from>
      <xdr:col>1</xdr:col>
      <xdr:colOff>385572</xdr:colOff>
      <xdr:row>33</xdr:row>
      <xdr:rowOff>70915</xdr:rowOff>
    </xdr:from>
    <xdr:ext cx="1513561" cy="236139"/>
    <xdr:sp macro="" textlink="">
      <xdr:nvSpPr>
        <xdr:cNvPr id="19" name="TextBox 18">
          <a:extLst>
            <a:ext uri="{FF2B5EF4-FFF2-40B4-BE49-F238E27FC236}">
              <a16:creationId xmlns:a16="http://schemas.microsoft.com/office/drawing/2014/main" id="{917EB49C-0F35-4F0D-95C1-41B916FE15F9}"/>
            </a:ext>
          </a:extLst>
        </xdr:cNvPr>
        <xdr:cNvSpPr txBox="1"/>
      </xdr:nvSpPr>
      <xdr:spPr>
        <a:xfrm>
          <a:off x="1053165" y="6065765"/>
          <a:ext cx="1513561" cy="23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1"/>
              </a:solidFill>
              <a:latin typeface="Arial Black" panose="020B0A04020102020204" pitchFamily="34" charset="0"/>
            </a:rPr>
            <a:t>Happy</a:t>
          </a:r>
          <a:r>
            <a:rPr lang="en-US" sz="1200" baseline="0">
              <a:solidFill>
                <a:schemeClr val="bg1"/>
              </a:solidFill>
              <a:latin typeface="Arial Black" panose="020B0A04020102020204" pitchFamily="34" charset="0"/>
            </a:rPr>
            <a:t> Callers</a:t>
          </a:r>
          <a:endParaRPr lang="en-US" sz="1200">
            <a:solidFill>
              <a:schemeClr val="bg1"/>
            </a:solidFill>
            <a:latin typeface="Arial Black" panose="020B0A04020102020204" pitchFamily="34" charset="0"/>
          </a:endParaRPr>
        </a:p>
      </xdr:txBody>
    </xdr:sp>
    <xdr:clientData/>
  </xdr:oneCellAnchor>
  <xdr:oneCellAnchor>
    <xdr:from>
      <xdr:col>1</xdr:col>
      <xdr:colOff>431335</xdr:colOff>
      <xdr:row>35</xdr:row>
      <xdr:rowOff>137497</xdr:rowOff>
    </xdr:from>
    <xdr:ext cx="1399121" cy="342851"/>
    <xdr:sp macro="" textlink="pivot!E8">
      <xdr:nvSpPr>
        <xdr:cNvPr id="21" name="TextBox 20">
          <a:extLst>
            <a:ext uri="{FF2B5EF4-FFF2-40B4-BE49-F238E27FC236}">
              <a16:creationId xmlns:a16="http://schemas.microsoft.com/office/drawing/2014/main" id="{083DB7D6-9BA6-4D80-8FDE-20ADBAD0A53B}"/>
            </a:ext>
          </a:extLst>
        </xdr:cNvPr>
        <xdr:cNvSpPr txBox="1"/>
      </xdr:nvSpPr>
      <xdr:spPr>
        <a:xfrm>
          <a:off x="1099390" y="6692785"/>
          <a:ext cx="139912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7098950-5D90-47D9-9E25-BCB2F405EFD2}" type="TxLink">
            <a:rPr lang="en-US" sz="1600" b="0" i="0" u="none" strike="noStrike">
              <a:solidFill>
                <a:schemeClr val="bg1"/>
              </a:solidFill>
              <a:latin typeface="+mj-lt"/>
            </a:rPr>
            <a:pPr algn="ctr"/>
            <a:t>51</a:t>
          </a:fld>
          <a:endParaRPr lang="en-US" sz="1600">
            <a:solidFill>
              <a:schemeClr val="bg1"/>
            </a:solidFill>
            <a:latin typeface="+mj-lt"/>
          </a:endParaRPr>
        </a:p>
      </xdr:txBody>
    </xdr:sp>
    <xdr:clientData/>
  </xdr:oneCellAnchor>
  <xdr:twoCellAnchor editAs="oneCell">
    <xdr:from>
      <xdr:col>1</xdr:col>
      <xdr:colOff>497609</xdr:colOff>
      <xdr:row>14</xdr:row>
      <xdr:rowOff>63733</xdr:rowOff>
    </xdr:from>
    <xdr:to>
      <xdr:col>2</xdr:col>
      <xdr:colOff>242241</xdr:colOff>
      <xdr:row>16</xdr:row>
      <xdr:rowOff>92715</xdr:rowOff>
    </xdr:to>
    <xdr:pic>
      <xdr:nvPicPr>
        <xdr:cNvPr id="22" name="Graphic 21" descr="Shopping cart with solid fill">
          <a:extLst>
            <a:ext uri="{FF2B5EF4-FFF2-40B4-BE49-F238E27FC236}">
              <a16:creationId xmlns:a16="http://schemas.microsoft.com/office/drawing/2014/main" id="{EEE0F076-C6E1-42FD-9EF0-686B1F8A0B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2627" y="2585260"/>
          <a:ext cx="409650" cy="389200"/>
        </a:xfrm>
        <a:prstGeom prst="rect">
          <a:avLst/>
        </a:prstGeom>
      </xdr:spPr>
    </xdr:pic>
    <xdr:clientData/>
  </xdr:twoCellAnchor>
  <xdr:twoCellAnchor editAs="oneCell">
    <xdr:from>
      <xdr:col>1</xdr:col>
      <xdr:colOff>525079</xdr:colOff>
      <xdr:row>13</xdr:row>
      <xdr:rowOff>148808</xdr:rowOff>
    </xdr:from>
    <xdr:to>
      <xdr:col>2</xdr:col>
      <xdr:colOff>37067</xdr:colOff>
      <xdr:row>14</xdr:row>
      <xdr:rowOff>152407</xdr:rowOff>
    </xdr:to>
    <xdr:pic>
      <xdr:nvPicPr>
        <xdr:cNvPr id="23" name="Graphic 22" descr="Shopping cart with solid fill">
          <a:extLst>
            <a:ext uri="{FF2B5EF4-FFF2-40B4-BE49-F238E27FC236}">
              <a16:creationId xmlns:a16="http://schemas.microsoft.com/office/drawing/2014/main" id="{7854E22A-ED0E-4A24-B8BB-B9B284EFEE5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96768" y="2496897"/>
          <a:ext cx="183677" cy="184221"/>
        </a:xfrm>
        <a:prstGeom prst="rect">
          <a:avLst/>
        </a:prstGeom>
      </xdr:spPr>
    </xdr:pic>
    <xdr:clientData/>
  </xdr:twoCellAnchor>
  <xdr:twoCellAnchor editAs="oneCell">
    <xdr:from>
      <xdr:col>1</xdr:col>
      <xdr:colOff>480266</xdr:colOff>
      <xdr:row>21</xdr:row>
      <xdr:rowOff>18287</xdr:rowOff>
    </xdr:from>
    <xdr:to>
      <xdr:col>1</xdr:col>
      <xdr:colOff>663146</xdr:colOff>
      <xdr:row>22</xdr:row>
      <xdr:rowOff>14125</xdr:rowOff>
    </xdr:to>
    <xdr:pic>
      <xdr:nvPicPr>
        <xdr:cNvPr id="24" name="Graphic 23" descr="Hourglass Finished with solid fill">
          <a:extLst>
            <a:ext uri="{FF2B5EF4-FFF2-40B4-BE49-F238E27FC236}">
              <a16:creationId xmlns:a16="http://schemas.microsoft.com/office/drawing/2014/main" id="{2D87E9EC-931E-4CF0-8FAA-F3E29F4808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1955" y="3811354"/>
          <a:ext cx="182880" cy="176459"/>
        </a:xfrm>
        <a:prstGeom prst="rect">
          <a:avLst/>
        </a:prstGeom>
      </xdr:spPr>
    </xdr:pic>
    <xdr:clientData/>
  </xdr:twoCellAnchor>
  <xdr:twoCellAnchor editAs="oneCell">
    <xdr:from>
      <xdr:col>1</xdr:col>
      <xdr:colOff>445660</xdr:colOff>
      <xdr:row>27</xdr:row>
      <xdr:rowOff>128225</xdr:rowOff>
    </xdr:from>
    <xdr:to>
      <xdr:col>1</xdr:col>
      <xdr:colOff>628540</xdr:colOff>
      <xdr:row>28</xdr:row>
      <xdr:rowOff>141803</xdr:rowOff>
    </xdr:to>
    <xdr:pic>
      <xdr:nvPicPr>
        <xdr:cNvPr id="25" name="Graphic 24" descr="Rating Star with solid fill">
          <a:extLst>
            <a:ext uri="{FF2B5EF4-FFF2-40B4-BE49-F238E27FC236}">
              <a16:creationId xmlns:a16="http://schemas.microsoft.com/office/drawing/2014/main" id="{6279768F-D21B-49E6-96E6-9CB41D043C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117349" y="5157425"/>
          <a:ext cx="182880" cy="182911"/>
        </a:xfrm>
        <a:prstGeom prst="rect">
          <a:avLst/>
        </a:prstGeom>
      </xdr:spPr>
    </xdr:pic>
    <xdr:clientData/>
  </xdr:twoCellAnchor>
  <xdr:twoCellAnchor editAs="oneCell">
    <xdr:from>
      <xdr:col>1</xdr:col>
      <xdr:colOff>429478</xdr:colOff>
      <xdr:row>33</xdr:row>
      <xdr:rowOff>147811</xdr:rowOff>
    </xdr:from>
    <xdr:to>
      <xdr:col>1</xdr:col>
      <xdr:colOff>612358</xdr:colOff>
      <xdr:row>34</xdr:row>
      <xdr:rowOff>127933</xdr:rowOff>
    </xdr:to>
    <xdr:pic>
      <xdr:nvPicPr>
        <xdr:cNvPr id="26" name="Graphic 25" descr="Star-struck face outline with solid fill">
          <a:extLst>
            <a:ext uri="{FF2B5EF4-FFF2-40B4-BE49-F238E27FC236}">
              <a16:creationId xmlns:a16="http://schemas.microsoft.com/office/drawing/2014/main" id="{C5DBD5A8-B75E-4001-A047-56A13D811E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7071" y="6142661"/>
          <a:ext cx="182880" cy="162193"/>
        </a:xfrm>
        <a:prstGeom prst="rect">
          <a:avLst/>
        </a:prstGeom>
      </xdr:spPr>
    </xdr:pic>
    <xdr:clientData/>
  </xdr:twoCellAnchor>
  <xdr:twoCellAnchor editAs="oneCell">
    <xdr:from>
      <xdr:col>11</xdr:col>
      <xdr:colOff>138006</xdr:colOff>
      <xdr:row>25</xdr:row>
      <xdr:rowOff>15593</xdr:rowOff>
    </xdr:from>
    <xdr:to>
      <xdr:col>13</xdr:col>
      <xdr:colOff>406666</xdr:colOff>
      <xdr:row>34</xdr:row>
      <xdr:rowOff>4698</xdr:rowOff>
    </xdr:to>
    <mc:AlternateContent xmlns:mc="http://schemas.openxmlformats.org/markup-compatibility/2006">
      <mc:Choice xmlns:a14="http://schemas.microsoft.com/office/drawing/2010/main" Requires="a14">
        <xdr:graphicFrame macro="">
          <xdr:nvGraphicFramePr>
            <xdr:cNvPr id="27" name="Representative">
              <a:extLst>
                <a:ext uri="{FF2B5EF4-FFF2-40B4-BE49-F238E27FC236}">
                  <a16:creationId xmlns:a16="http://schemas.microsoft.com/office/drawing/2014/main" id="{FC252073-F733-44C5-9E8E-A15342523BC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573651" y="4673625"/>
              <a:ext cx="1620596" cy="1685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244664</xdr:colOff>
      <xdr:row>6</xdr:row>
      <xdr:rowOff>54945</xdr:rowOff>
    </xdr:from>
    <xdr:to>
      <xdr:col>11</xdr:col>
      <xdr:colOff>36846</xdr:colOff>
      <xdr:row>18</xdr:row>
      <xdr:rowOff>146385</xdr:rowOff>
    </xdr:to>
    <xdr:graphicFrame macro="">
      <xdr:nvGraphicFramePr>
        <xdr:cNvPr id="28" name="Chart 27">
          <a:extLst>
            <a:ext uri="{FF2B5EF4-FFF2-40B4-BE49-F238E27FC236}">
              <a16:creationId xmlns:a16="http://schemas.microsoft.com/office/drawing/2014/main" id="{C56443E4-BB3C-4E25-8B89-09F0E97FC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90920</xdr:colOff>
      <xdr:row>8</xdr:row>
      <xdr:rowOff>67655</xdr:rowOff>
    </xdr:from>
    <xdr:to>
      <xdr:col>13</xdr:col>
      <xdr:colOff>331712</xdr:colOff>
      <xdr:row>17</xdr:row>
      <xdr:rowOff>186527</xdr:rowOff>
    </xdr:to>
    <xdr:graphicFrame macro="">
      <xdr:nvGraphicFramePr>
        <xdr:cNvPr id="29" name="Chart 28">
          <a:extLst>
            <a:ext uri="{FF2B5EF4-FFF2-40B4-BE49-F238E27FC236}">
              <a16:creationId xmlns:a16="http://schemas.microsoft.com/office/drawing/2014/main" id="{E47351AE-5AF3-49AE-B17D-FA3894EF9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257079</xdr:colOff>
      <xdr:row>21</xdr:row>
      <xdr:rowOff>37984</xdr:rowOff>
    </xdr:from>
    <xdr:to>
      <xdr:col>7</xdr:col>
      <xdr:colOff>591804</xdr:colOff>
      <xdr:row>37</xdr:row>
      <xdr:rowOff>109451</xdr:rowOff>
    </xdr:to>
    <xdr:graphicFrame macro="">
      <xdr:nvGraphicFramePr>
        <xdr:cNvPr id="8" name="Chart 7">
          <a:extLst>
            <a:ext uri="{FF2B5EF4-FFF2-40B4-BE49-F238E27FC236}">
              <a16:creationId xmlns:a16="http://schemas.microsoft.com/office/drawing/2014/main" id="{CA549285-4F63-46B4-87FD-24D38E603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239791</xdr:colOff>
      <xdr:row>21</xdr:row>
      <xdr:rowOff>36871</xdr:rowOff>
    </xdr:from>
    <xdr:to>
      <xdr:col>11</xdr:col>
      <xdr:colOff>74083</xdr:colOff>
      <xdr:row>37</xdr:row>
      <xdr:rowOff>105832</xdr:rowOff>
    </xdr:to>
    <xdr:graphicFrame macro="">
      <xdr:nvGraphicFramePr>
        <xdr:cNvPr id="12" name="Chart 11">
          <a:extLst>
            <a:ext uri="{FF2B5EF4-FFF2-40B4-BE49-F238E27FC236}">
              <a16:creationId xmlns:a16="http://schemas.microsoft.com/office/drawing/2014/main" id="{ADF18823-BA60-477D-AD24-71DD2B274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31751</xdr:colOff>
      <xdr:row>5</xdr:row>
      <xdr:rowOff>155401</xdr:rowOff>
    </xdr:from>
    <xdr:to>
      <xdr:col>20</xdr:col>
      <xdr:colOff>718156</xdr:colOff>
      <xdr:row>18</xdr:row>
      <xdr:rowOff>68035</xdr:rowOff>
    </xdr:to>
    <xdr:graphicFrame macro="">
      <xdr:nvGraphicFramePr>
        <xdr:cNvPr id="16" name="Chart 15">
          <a:extLst>
            <a:ext uri="{FF2B5EF4-FFF2-40B4-BE49-F238E27FC236}">
              <a16:creationId xmlns:a16="http://schemas.microsoft.com/office/drawing/2014/main" id="{E50ADD71-7147-4589-8584-78C0152EC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6877</xdr:colOff>
      <xdr:row>5</xdr:row>
      <xdr:rowOff>146388</xdr:rowOff>
    </xdr:from>
    <xdr:to>
      <xdr:col>16</xdr:col>
      <xdr:colOff>910167</xdr:colOff>
      <xdr:row>18</xdr:row>
      <xdr:rowOff>63500</xdr:rowOff>
    </xdr:to>
    <xdr:graphicFrame macro="">
      <xdr:nvGraphicFramePr>
        <xdr:cNvPr id="20" name="Chart 19">
          <a:extLst>
            <a:ext uri="{FF2B5EF4-FFF2-40B4-BE49-F238E27FC236}">
              <a16:creationId xmlns:a16="http://schemas.microsoft.com/office/drawing/2014/main" id="{A0F73B4D-EA9B-45E4-865C-2403A41F2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xdr:col>
      <xdr:colOff>450978</xdr:colOff>
      <xdr:row>0</xdr:row>
      <xdr:rowOff>171062</xdr:rowOff>
    </xdr:from>
    <xdr:ext cx="8212857" cy="761999"/>
    <xdr:sp macro="" textlink="">
      <xdr:nvSpPr>
        <xdr:cNvPr id="30" name="TextBox 29">
          <a:extLst>
            <a:ext uri="{FF2B5EF4-FFF2-40B4-BE49-F238E27FC236}">
              <a16:creationId xmlns:a16="http://schemas.microsoft.com/office/drawing/2014/main" id="{CD22A934-ED0C-C0A9-DD58-64142C62B40A}"/>
            </a:ext>
          </a:extLst>
        </xdr:cNvPr>
        <xdr:cNvSpPr txBox="1"/>
      </xdr:nvSpPr>
      <xdr:spPr>
        <a:xfrm>
          <a:off x="1119033" y="171062"/>
          <a:ext cx="8212857" cy="761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400" b="1">
              <a:solidFill>
                <a:schemeClr val="bg1"/>
              </a:solidFill>
              <a:latin typeface="Arial Black" panose="020B0A04020102020204" pitchFamily="34" charset="0"/>
            </a:rPr>
            <a:t>CALL CENTRE REPORT</a:t>
          </a:r>
        </a:p>
      </xdr:txBody>
    </xdr:sp>
    <xdr:clientData/>
  </xdr:oneCellAnchor>
  <xdr:oneCellAnchor>
    <xdr:from>
      <xdr:col>19</xdr:col>
      <xdr:colOff>420818</xdr:colOff>
      <xdr:row>26</xdr:row>
      <xdr:rowOff>114317</xdr:rowOff>
    </xdr:from>
    <xdr:ext cx="184731" cy="937693"/>
    <xdr:sp macro="" textlink="">
      <xdr:nvSpPr>
        <xdr:cNvPr id="31" name="Rectangle 30">
          <a:extLst>
            <a:ext uri="{FF2B5EF4-FFF2-40B4-BE49-F238E27FC236}">
              <a16:creationId xmlns:a16="http://schemas.microsoft.com/office/drawing/2014/main" id="{B3DEA7A7-2AD6-6B70-216E-2073ABF5E03E}"/>
            </a:ext>
          </a:extLst>
        </xdr:cNvPr>
        <xdr:cNvSpPr/>
      </xdr:nvSpPr>
      <xdr:spPr>
        <a:xfrm>
          <a:off x="14478940" y="4966235"/>
          <a:ext cx="184731" cy="937693"/>
        </a:xfrm>
        <a:prstGeom prst="rect">
          <a:avLst/>
        </a:prstGeom>
        <a:noFill/>
      </xdr:spPr>
      <xdr:txBody>
        <a:bodyPr wrap="none" lIns="91440" tIns="45720" rIns="91440" bIns="45720">
          <a:spAutoFit/>
        </a:bodyPr>
        <a:lstStyle/>
        <a:p>
          <a:pPr algn="ctr"/>
          <a:endParaRPr lang="en-US" sz="5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oneCellAnchor>
    <xdr:from>
      <xdr:col>17</xdr:col>
      <xdr:colOff>42333</xdr:colOff>
      <xdr:row>5</xdr:row>
      <xdr:rowOff>105832</xdr:rowOff>
    </xdr:from>
    <xdr:ext cx="3238500" cy="994835"/>
    <xdr:sp macro="" textlink="">
      <xdr:nvSpPr>
        <xdr:cNvPr id="32" name="TextBox 31">
          <a:extLst>
            <a:ext uri="{FF2B5EF4-FFF2-40B4-BE49-F238E27FC236}">
              <a16:creationId xmlns:a16="http://schemas.microsoft.com/office/drawing/2014/main" id="{B364FBF4-FA68-A93D-38B0-083887508F1C}"/>
            </a:ext>
          </a:extLst>
        </xdr:cNvPr>
        <xdr:cNvSpPr txBox="1"/>
      </xdr:nvSpPr>
      <xdr:spPr>
        <a:xfrm>
          <a:off x="11631083" y="1005415"/>
          <a:ext cx="3238500" cy="994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rgbClr val="7030A0"/>
              </a:solidFill>
              <a:effectLst/>
              <a:latin typeface="Arial Black" panose="020B0A04020102020204" pitchFamily="34" charset="0"/>
              <a:ea typeface="+mn-ea"/>
              <a:cs typeface="+mn-cs"/>
            </a:rPr>
            <a:t>Female</a:t>
          </a:r>
          <a:r>
            <a:rPr lang="en-US" sz="2400" b="1" i="0" baseline="0">
              <a:solidFill>
                <a:schemeClr val="tx1"/>
              </a:solidFill>
              <a:effectLst/>
              <a:latin typeface="Arial Black" panose="020B0A04020102020204" pitchFamily="34" charset="0"/>
              <a:ea typeface="+mn-ea"/>
              <a:cs typeface="+mn-cs"/>
            </a:rPr>
            <a:t> vs. </a:t>
          </a:r>
          <a:r>
            <a:rPr lang="en-US" sz="2400" b="1" i="0" baseline="0">
              <a:solidFill>
                <a:schemeClr val="accent2"/>
              </a:solidFill>
              <a:effectLst/>
              <a:latin typeface="Arial Black" panose="020B0A04020102020204" pitchFamily="34" charset="0"/>
              <a:ea typeface="+mn-ea"/>
              <a:cs typeface="+mn-cs"/>
            </a:rPr>
            <a:t>Male</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tx1"/>
              </a:solidFill>
              <a:effectLst/>
              <a:latin typeface="Arial Black" panose="020B0A04020102020204" pitchFamily="34" charset="0"/>
              <a:ea typeface="+mn-ea"/>
              <a:cs typeface="+mn-cs"/>
            </a:rPr>
            <a:t> </a:t>
          </a:r>
          <a:endParaRPr lang="en-US" sz="1100"/>
        </a:p>
      </xdr:txBody>
    </xdr:sp>
    <xdr:clientData/>
  </xdr:oneCellAnchor>
  <xdr:oneCellAnchor>
    <xdr:from>
      <xdr:col>11</xdr:col>
      <xdr:colOff>122904</xdr:colOff>
      <xdr:row>32</xdr:row>
      <xdr:rowOff>86033</xdr:rowOff>
    </xdr:from>
    <xdr:ext cx="1708416" cy="264560"/>
    <xdr:sp macro="" textlink="">
      <xdr:nvSpPr>
        <xdr:cNvPr id="39" name="TextBox 38">
          <a:extLst>
            <a:ext uri="{FF2B5EF4-FFF2-40B4-BE49-F238E27FC236}">
              <a16:creationId xmlns:a16="http://schemas.microsoft.com/office/drawing/2014/main" id="{413DEC98-C1C8-265E-D1E6-BF5C701E7E0C}"/>
            </a:ext>
          </a:extLst>
        </xdr:cNvPr>
        <xdr:cNvSpPr txBox="1"/>
      </xdr:nvSpPr>
      <xdr:spPr>
        <a:xfrm>
          <a:off x="7558549" y="6071420"/>
          <a:ext cx="17084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7030A0"/>
              </a:solidFill>
            </a:rPr>
            <a:t>Filter by Representative</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0.35762</cdr:x>
      <cdr:y>0.66341</cdr:y>
    </cdr:from>
    <cdr:to>
      <cdr:x>0.39841</cdr:x>
      <cdr:y>1</cdr:y>
    </cdr:to>
    <cdr:sp macro="" textlink="">
      <cdr:nvSpPr>
        <cdr:cNvPr id="2" name="Rectangle 1">
          <a:extLst xmlns:a="http://schemas.openxmlformats.org/drawingml/2006/main">
            <a:ext uri="{FF2B5EF4-FFF2-40B4-BE49-F238E27FC236}">
              <a16:creationId xmlns:a16="http://schemas.microsoft.com/office/drawing/2014/main" id="{E90CBFF6-D8D5-513D-FA15-225EE0A01037}"/>
            </a:ext>
          </a:extLst>
        </cdr:cNvPr>
        <cdr:cNvSpPr/>
      </cdr:nvSpPr>
      <cdr:spPr>
        <a:xfrm xmlns:a="http://schemas.openxmlformats.org/drawingml/2006/main">
          <a:off x="1619534" y="1848184"/>
          <a:ext cx="184730" cy="937693"/>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51085</xdr:colOff>
      <xdr:row>3</xdr:row>
      <xdr:rowOff>630467</xdr:rowOff>
    </xdr:from>
    <xdr:to>
      <xdr:col>1</xdr:col>
      <xdr:colOff>460735</xdr:colOff>
      <xdr:row>4</xdr:row>
      <xdr:rowOff>402739</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2956" y="1613693"/>
          <a:ext cx="409650" cy="403175"/>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66261</xdr:colOff>
      <xdr:row>6</xdr:row>
      <xdr:rowOff>93167</xdr:rowOff>
    </xdr:from>
    <xdr:to>
      <xdr:col>1</xdr:col>
      <xdr:colOff>475911</xdr:colOff>
      <xdr:row>6</xdr:row>
      <xdr:rowOff>472092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132" y="2682328"/>
          <a:ext cx="409650" cy="378925"/>
        </a:xfrm>
        <a:prstGeom prst="rect">
          <a:avLst/>
        </a:prstGeom>
      </xdr:spPr>
    </xdr:pic>
    <xdr:clientData/>
  </xdr:twoCellAnchor>
  <xdr:twoCellAnchor editAs="oneCell">
    <xdr:from>
      <xdr:col>1</xdr:col>
      <xdr:colOff>8194</xdr:colOff>
      <xdr:row>3</xdr:row>
      <xdr:rowOff>33807</xdr:rowOff>
    </xdr:from>
    <xdr:to>
      <xdr:col>1</xdr:col>
      <xdr:colOff>417844</xdr:colOff>
      <xdr:row>3</xdr:row>
      <xdr:rowOff>440482</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0065" y="1017033"/>
          <a:ext cx="409650" cy="406675"/>
        </a:xfrm>
        <a:prstGeom prst="rect">
          <a:avLst/>
        </a:prstGeom>
      </xdr:spPr>
    </xdr:pic>
    <xdr:clientData/>
  </xdr:twoCellAnchor>
  <xdr:twoCellAnchor editAs="oneCell">
    <xdr:from>
      <xdr:col>1</xdr:col>
      <xdr:colOff>100959</xdr:colOff>
      <xdr:row>5</xdr:row>
      <xdr:rowOff>64853</xdr:rowOff>
    </xdr:from>
    <xdr:to>
      <xdr:col>1</xdr:col>
      <xdr:colOff>510609</xdr:colOff>
      <xdr:row>5</xdr:row>
      <xdr:rowOff>460789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2830" y="2129627"/>
          <a:ext cx="409650" cy="395936"/>
        </a:xfrm>
        <a:prstGeom prst="rect">
          <a:avLst/>
        </a:prstGeom>
      </xdr:spPr>
    </xdr:pic>
    <xdr:clientData/>
  </xdr:twoCellAnchor>
  <xdr:twoCellAnchor editAs="oneCell">
    <xdr:from>
      <xdr:col>1</xdr:col>
      <xdr:colOff>19049</xdr:colOff>
      <xdr:row>2</xdr:row>
      <xdr:rowOff>285176</xdr:rowOff>
    </xdr:from>
    <xdr:to>
      <xdr:col>1</xdr:col>
      <xdr:colOff>430529</xdr:colOff>
      <xdr:row>3</xdr:row>
      <xdr:rowOff>64467</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88284" y="656237"/>
          <a:ext cx="411480" cy="40154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0.547800810185" backgroundQuery="1" createdVersion="8" refreshedVersion="8" minRefreshableVersion="3" recordCount="0" supportSubquery="1" supportAdvancedDrill="1" xr:uid="{2A4F4F15-A2C9-4560-A1BA-B5E0B77FB5D6}">
  <cacheSource type="external" connectionId="1"/>
  <cacheFields count="3">
    <cacheField name="[customers].[City].[City]" caption="City" numFmtId="0" hierarchy="15" level="1">
      <sharedItems count="3">
        <s v="Bangalore"/>
        <s v="Delhi"/>
        <s v="Mumbai"/>
      </sharedItems>
    </cacheField>
    <cacheField name="[customers].[Gender].[Gender]" caption="Gender" numFmtId="0" hierarchy="13" level="1">
      <sharedItems count="2">
        <s v="Female"/>
        <s v="Male"/>
      </sharedItems>
    </cacheField>
    <cacheField name="[Measures].[Calls Count]" caption="Calls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0.547801620371" backgroundQuery="1" createdVersion="8" refreshedVersion="8" minRefreshableVersion="3" recordCount="0" supportSubquery="1" supportAdvancedDrill="1" xr:uid="{12385128-3F21-4C89-B90E-662E6D142E4B}">
  <cacheSource type="external" connectionId="1"/>
  <cacheFields count="5">
    <cacheField name="[Measures].[Calls Count]" caption="Calls Count" numFmtId="0" hierarchy="17" level="32767"/>
    <cacheField name="[Measures].[Total Amounts]" caption="Total Amounts"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s]" caption="Total Amounts"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0.547802314817" backgroundQuery="1" createdVersion="8" refreshedVersion="8" minRefreshableVersion="3" recordCount="0" supportSubquery="1" supportAdvancedDrill="1" xr:uid="{7318B46E-5C4E-4159-B338-F0548F177AC9}">
  <cacheSource type="external" connectionId="1"/>
  <cacheFields count="3">
    <cacheField name="[Measures].[Calls Count]" caption="Calls Count" numFmtId="0" hierarchy="17" level="32767"/>
    <cacheField name="[Measures].[Total Amounts]" caption="Total Amounts" numFmtId="0" hierarchy="18" level="32767"/>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s]" caption="Total Amounts"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0.548894097221" backgroundQuery="1" createdVersion="8" refreshedVersion="8" minRefreshableVersion="3" recordCount="0" supportSubquery="1" supportAdvancedDrill="1" xr:uid="{A955A149-FEC7-47FE-929D-3CDA7A6619AA}">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Bangalore"/>
        <s v="Delhi"/>
        <s v="Mumbai"/>
      </sharedItems>
    </cacheField>
    <cacheField name="[customers].[Customer ID].[Customer ID]" caption="Customer ID" numFmtId="0" hierarchy="12" level="1">
      <sharedItems count="15">
        <s v="C0003"/>
        <s v="C0004"/>
        <s v="C0011"/>
        <s v="C0012"/>
        <s v="C0001"/>
        <s v="C0005"/>
        <s v="C0006"/>
        <s v="C0009"/>
        <s v="C0014"/>
        <s v="C0002"/>
        <s v="C0007"/>
        <s v="C0008"/>
        <s v="C0010"/>
        <s v="C0013"/>
        <s v="C0015"/>
      </sharedItems>
    </cacheField>
    <cacheField name="[Measures].[Total Amounts]" caption="Total Amounts"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s]" caption="Total Amounts"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1.499711574077" backgroundQuery="1" createdVersion="8" refreshedVersion="8" minRefreshableVersion="3" recordCount="0" supportSubquery="1" supportAdvancedDrill="1" xr:uid="{2AE40FE0-D6AB-49B5-9474-942DC6B67675}">
  <cacheSource type="external" connectionId="1"/>
  <cacheFields count="6">
    <cacheField name="[Measures].[Calls Count]" caption="Calls Count" numFmtId="0" hierarchy="17" level="32767"/>
    <cacheField name="[Measures].[Total Amounts]" caption="Total Amounts"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s]" caption="Total Amounts"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1.499711921293" backgroundQuery="1" createdVersion="8" refreshedVersion="8" minRefreshableVersion="3" recordCount="0" supportSubquery="1" supportAdvancedDrill="1" xr:uid="{F15D8254-CA56-478B-A684-BFB37CB9F56C}">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12-01T00:00:00" maxDate="2023-12-30T00:00:00" count="9">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1.499712268516" backgroundQuery="1" createdVersion="8" refreshedVersion="8" minRefreshableVersion="3" recordCount="0" supportSubquery="1" supportAdvancedDrill="1" xr:uid="{D52282B3-5E9D-448E-8343-7A5BA4BF665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1.499712731478" backgroundQuery="1" createdVersion="8" refreshedVersion="8" minRefreshableVersion="3" recordCount="0" supportSubquery="1" supportAdvancedDrill="1" xr:uid="{AD37AC99-8731-436D-89E6-627B6B0D3840}">
  <cacheSource type="external" connectionId="1"/>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1.499713078701" backgroundQuery="1" createdVersion="8" refreshedVersion="8" minRefreshableVersion="3" recordCount="0" supportSubquery="1" supportAdvancedDrill="1" xr:uid="{897955FF-78B1-4B40-9313-B56C956AD628}">
  <cacheSource type="external" connectionId="1"/>
  <cacheFields count="3">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Yadav" refreshedDate="46130.547794791666" backgroundQuery="1" createdVersion="3" refreshedVersion="8" minRefreshableVersion="3" recordCount="0" supportSubquery="1" supportAdvancedDrill="1" xr:uid="{B6965D05-774B-4BA4-ABFC-BBC808399580}">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INR)]" caption="Purchase Amount (INR)" attribute="1" defaultMemberUniqueName="[calls].[Purchase Amount (INR)].[All]" allUniqueName="[calls].[Purchase Amount (INR)].[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s]" caption="Total Amounts"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474757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91A0D-43B4-43F3-B5A9-AEB89739403C}" name="rep satisfaction"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D49:E5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FEDE4-0D63-4B82-BFAE-4C8DCCA0D4B3}" name="WEEKDAY TREND"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F13:G2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9">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1" count="1" selected="0">
            <x v="3"/>
          </reference>
        </references>
      </pivotArea>
    </chartFormat>
    <chartFormat chart="36" format="4">
      <pivotArea type="data" outline="0" fieldPosition="0">
        <references count="2">
          <reference field="4294967294" count="1" selected="0">
            <x v="0"/>
          </reference>
          <reference field="1" count="1" selected="0">
            <x v="6"/>
          </reference>
        </references>
      </pivotArea>
    </chartFormat>
    <chartFormat chart="36" format="5">
      <pivotArea type="data" outline="0" fieldPosition="0">
        <references count="2">
          <reference field="4294967294" count="1" selected="0">
            <x v="0"/>
          </reference>
          <reference field="1" count="1" selected="0">
            <x v="5"/>
          </reference>
        </references>
      </pivotArea>
    </chartFormat>
    <chartFormat chart="36" format="6">
      <pivotArea type="data" outline="0" fieldPosition="0">
        <references count="2">
          <reference field="4294967294" count="1" selected="0">
            <x v="0"/>
          </reference>
          <reference field="1" count="1" selected="0">
            <x v="4"/>
          </reference>
        </references>
      </pivotArea>
    </chartFormat>
    <chartFormat chart="36" format="7">
      <pivotArea type="data" outline="0" fieldPosition="0">
        <references count="2">
          <reference field="4294967294" count="1" selected="0">
            <x v="0"/>
          </reference>
          <reference field="1" count="1" selected="0">
            <x v="2"/>
          </reference>
        </references>
      </pivotArea>
    </chartFormat>
    <chartFormat chart="36" format="8">
      <pivotArea type="data" outline="0" fieldPosition="0">
        <references count="2">
          <reference field="4294967294" count="1" selected="0">
            <x v="0"/>
          </reference>
          <reference field="1" count="1" selected="0">
            <x v="1"/>
          </reference>
        </references>
      </pivotArea>
    </chartFormat>
    <chartFormat chart="36" format="9">
      <pivotArea type="data" outline="0" fieldPosition="0">
        <references count="2">
          <reference field="4294967294" count="1" selected="0">
            <x v="0"/>
          </reference>
          <reference field="1"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E80D83-8320-4225-AC95-2C8372004E35}" name="selected rep"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0:A4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595CC2-F4CB-4C80-BD1F-8E84515ED9C1}" name="summ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7EF322-E986-4BDD-8B2A-3934FCC7B408}" name="MONTHLY TREND"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1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4">
    <chartFormat chart="28" format="2" series="1">
      <pivotArea type="data" outline="0" fieldPosition="0">
        <references count="1">
          <reference field="4294967294" count="1" selected="0">
            <x v="1"/>
          </reference>
        </references>
      </pivotArea>
    </chartFormat>
    <chartFormat chart="28"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1"/>
          </reference>
        </references>
      </pivotArea>
    </chartFormat>
    <chartFormat chart="33"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602304-232F-43C9-AB79-12815CD8AA04}" name="rep summary"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DB91D7-0909-40C3-8AC7-57C6BE142498}"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D61:J8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x v="2"/>
    </i>
    <i r="1">
      <x v="9"/>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A0A35-B193-4012-AA81-96A4746E2F6B}" name="REP 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C3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81DD29-7A0C-42E4-8440-4F3CE494FAB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0:G4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5F1A35C-77FF-4205-980B-A06DEA960E96}" sourceName="[calls].[Representative]">
  <pivotTables>
    <pivotTable tabId="6" name="rep summary"/>
    <pivotTable tabId="6" name="MONTHLY TREND"/>
    <pivotTable tabId="6" name="WEEKDAY TREND"/>
    <pivotTable tabId="6" name="selected rep"/>
    <pivotTable tabId="6" name="rep satisfaction"/>
  </pivotTables>
  <data>
    <olap pivotCacheId="147475768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3ECA98F-4A6B-4D1D-AD60-23ECB1893510}" cache="Slicer_Representative" caption="Representative" showCaption="0" level="1"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headerRowDxfId="17">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 dataDxfId="16"/>
    <tableColumn id="5" xr3:uid="{5A35565E-8707-4DED-AD15-A0669D67B382}" name="Date of Call" dataDxfId="15"/>
    <tableColumn id="14" xr3:uid="{FD981AF1-E33E-475A-8351-252250D12EEE}" name="Purchase Amount (INR)"/>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nder" dataDxfId="5"/>
    <tableColumn id="3" xr3:uid="{B0D41C62-587E-494D-B49A-603F2C05F8D3}" name="Age" dataDxfId="4"/>
    <tableColumn id="4" xr3:uid="{663F92D6-FE31-4D81-9E01-8D066DDC8A88}" name="City" dataDxfId="3"/>
  </tableColumns>
  <tableStyleInfo name="TableStyleMedium1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1EEF-344D-4FC5-BAE2-632410263E56}">
  <dimension ref="A3:J80"/>
  <sheetViews>
    <sheetView topLeftCell="A31" zoomScale="72" workbookViewId="0">
      <selection activeCell="AE13" sqref="AE13"/>
    </sheetView>
  </sheetViews>
  <sheetFormatPr defaultRowHeight="14.4" x14ac:dyDescent="0.3"/>
  <cols>
    <col min="1" max="1" width="13.19921875" bestFit="1" customWidth="1"/>
    <col min="2" max="2" width="10.796875" bestFit="1" customWidth="1"/>
    <col min="3" max="3" width="11.796875" bestFit="1" customWidth="1"/>
    <col min="4" max="4" width="13.19921875" bestFit="1" customWidth="1"/>
    <col min="5" max="5" width="10.796875" bestFit="1" customWidth="1"/>
    <col min="6" max="6" width="13.19921875" bestFit="1" customWidth="1"/>
    <col min="7" max="7" width="10.796875" bestFit="1" customWidth="1"/>
    <col min="8" max="9" width="8.3984375" bestFit="1" customWidth="1"/>
    <col min="10" max="10" width="10.69921875" bestFit="1" customWidth="1"/>
    <col min="11" max="11" width="3.796875" bestFit="1" customWidth="1"/>
    <col min="12" max="12" width="4.09765625" bestFit="1" customWidth="1"/>
    <col min="13" max="13" width="4.19921875" bestFit="1" customWidth="1"/>
    <col min="14" max="14" width="12.19921875" bestFit="1" customWidth="1"/>
    <col min="15" max="15" width="10.3984375" bestFit="1" customWidth="1"/>
    <col min="16" max="158" width="15.19921875" bestFit="1" customWidth="1"/>
    <col min="159" max="159" width="10.3984375" bestFit="1" customWidth="1"/>
  </cols>
  <sheetData>
    <row r="3" spans="1:8" x14ac:dyDescent="0.3">
      <c r="A3" t="s">
        <v>1041</v>
      </c>
      <c r="B3" t="s">
        <v>1042</v>
      </c>
      <c r="C3" t="s">
        <v>1040</v>
      </c>
      <c r="D3" t="s">
        <v>1043</v>
      </c>
      <c r="E3" t="s">
        <v>1044</v>
      </c>
      <c r="H3" t="s">
        <v>1067</v>
      </c>
    </row>
    <row r="4" spans="1:8" x14ac:dyDescent="0.3">
      <c r="A4" s="21">
        <v>1000</v>
      </c>
      <c r="B4" s="22">
        <v>8019709</v>
      </c>
      <c r="C4" s="21">
        <v>89850</v>
      </c>
      <c r="D4" s="23">
        <v>3.8854000000000033</v>
      </c>
      <c r="E4" s="21">
        <v>307</v>
      </c>
      <c r="H4" t="s">
        <v>1068</v>
      </c>
    </row>
    <row r="5" spans="1:8" x14ac:dyDescent="0.3">
      <c r="H5" t="s">
        <v>1069</v>
      </c>
    </row>
    <row r="6" spans="1:8" x14ac:dyDescent="0.3">
      <c r="H6" t="s">
        <v>1070</v>
      </c>
    </row>
    <row r="7" spans="1:8" x14ac:dyDescent="0.3">
      <c r="A7" t="s">
        <v>1041</v>
      </c>
      <c r="B7" t="s">
        <v>1042</v>
      </c>
      <c r="C7" t="s">
        <v>1040</v>
      </c>
      <c r="D7" t="s">
        <v>1043</v>
      </c>
      <c r="E7" t="s">
        <v>1044</v>
      </c>
      <c r="H7" t="s">
        <v>1071</v>
      </c>
    </row>
    <row r="8" spans="1:8" x14ac:dyDescent="0.3">
      <c r="A8" s="21">
        <v>200</v>
      </c>
      <c r="B8" s="22">
        <v>1668632</v>
      </c>
      <c r="C8" s="21">
        <v>18209</v>
      </c>
      <c r="D8" s="23">
        <v>3.8824999999999998</v>
      </c>
      <c r="E8" s="21">
        <v>51</v>
      </c>
    </row>
    <row r="12" spans="1:8" x14ac:dyDescent="0.3">
      <c r="A12" s="24" t="s">
        <v>1045</v>
      </c>
      <c r="B12" t="s">
        <v>1041</v>
      </c>
      <c r="C12" t="s">
        <v>1059</v>
      </c>
    </row>
    <row r="13" spans="1:8" x14ac:dyDescent="0.3">
      <c r="A13" s="25" t="s">
        <v>1047</v>
      </c>
      <c r="B13" s="21">
        <v>21</v>
      </c>
      <c r="C13" s="21">
        <v>21</v>
      </c>
      <c r="F13" s="24" t="s">
        <v>1045</v>
      </c>
      <c r="G13" t="s">
        <v>1041</v>
      </c>
    </row>
    <row r="14" spans="1:8" x14ac:dyDescent="0.3">
      <c r="A14" s="25" t="s">
        <v>1048</v>
      </c>
      <c r="B14" s="21">
        <v>18</v>
      </c>
      <c r="C14" s="21">
        <v>18</v>
      </c>
      <c r="F14" s="25" t="s">
        <v>1063</v>
      </c>
      <c r="G14" s="21">
        <v>27</v>
      </c>
    </row>
    <row r="15" spans="1:8" x14ac:dyDescent="0.3">
      <c r="A15" s="25" t="s">
        <v>1049</v>
      </c>
      <c r="B15" s="21">
        <v>31</v>
      </c>
      <c r="C15" s="21">
        <v>31</v>
      </c>
      <c r="F15" s="25" t="s">
        <v>1061</v>
      </c>
      <c r="G15" s="21">
        <v>22</v>
      </c>
    </row>
    <row r="16" spans="1:8" x14ac:dyDescent="0.3">
      <c r="A16" s="25" t="s">
        <v>1050</v>
      </c>
      <c r="B16" s="21">
        <v>20</v>
      </c>
      <c r="C16" s="21">
        <v>20</v>
      </c>
      <c r="F16" s="25" t="s">
        <v>1065</v>
      </c>
      <c r="G16" s="21">
        <v>27</v>
      </c>
    </row>
    <row r="17" spans="1:10" x14ac:dyDescent="0.3">
      <c r="A17" s="25" t="s">
        <v>1051</v>
      </c>
      <c r="B17" s="21">
        <v>8</v>
      </c>
      <c r="C17" s="21">
        <v>8</v>
      </c>
      <c r="F17" s="25" t="s">
        <v>1066</v>
      </c>
      <c r="G17" s="21">
        <v>27</v>
      </c>
    </row>
    <row r="18" spans="1:10" x14ac:dyDescent="0.3">
      <c r="A18" s="25" t="s">
        <v>1052</v>
      </c>
      <c r="B18" s="21">
        <v>12</v>
      </c>
      <c r="C18" s="21">
        <v>12</v>
      </c>
      <c r="F18" s="25" t="s">
        <v>1064</v>
      </c>
      <c r="G18" s="21">
        <v>27</v>
      </c>
    </row>
    <row r="19" spans="1:10" x14ac:dyDescent="0.3">
      <c r="A19" s="25" t="s">
        <v>1053</v>
      </c>
      <c r="B19" s="21">
        <v>12</v>
      </c>
      <c r="C19" s="21">
        <v>12</v>
      </c>
      <c r="F19" s="25" t="s">
        <v>1060</v>
      </c>
      <c r="G19" s="21">
        <v>32</v>
      </c>
    </row>
    <row r="20" spans="1:10" x14ac:dyDescent="0.3">
      <c r="A20" s="25" t="s">
        <v>1054</v>
      </c>
      <c r="B20" s="21">
        <v>7</v>
      </c>
      <c r="C20" s="21">
        <v>7</v>
      </c>
      <c r="F20" s="25" t="s">
        <v>1062</v>
      </c>
      <c r="G20" s="21">
        <v>38</v>
      </c>
    </row>
    <row r="21" spans="1:10" x14ac:dyDescent="0.3">
      <c r="A21" s="25" t="s">
        <v>1055</v>
      </c>
      <c r="B21" s="21">
        <v>20</v>
      </c>
      <c r="C21" s="21">
        <v>20</v>
      </c>
      <c r="F21" s="25" t="s">
        <v>1046</v>
      </c>
      <c r="G21" s="21">
        <v>200</v>
      </c>
    </row>
    <row r="22" spans="1:10" x14ac:dyDescent="0.3">
      <c r="A22" s="25" t="s">
        <v>1056</v>
      </c>
      <c r="B22" s="21">
        <v>24</v>
      </c>
      <c r="C22" s="21">
        <v>24</v>
      </c>
    </row>
    <row r="23" spans="1:10" x14ac:dyDescent="0.3">
      <c r="A23" s="25" t="s">
        <v>1057</v>
      </c>
      <c r="B23" s="21">
        <v>12</v>
      </c>
      <c r="C23" s="21">
        <v>12</v>
      </c>
    </row>
    <row r="24" spans="1:10" x14ac:dyDescent="0.3">
      <c r="A24" s="25" t="s">
        <v>1058</v>
      </c>
      <c r="B24" s="21">
        <v>15</v>
      </c>
      <c r="C24" s="21">
        <v>15</v>
      </c>
    </row>
    <row r="25" spans="1:10" x14ac:dyDescent="0.3">
      <c r="A25" s="25" t="s">
        <v>1046</v>
      </c>
      <c r="B25" s="21">
        <v>200</v>
      </c>
      <c r="C25" s="21">
        <v>200</v>
      </c>
    </row>
    <row r="27" spans="1:10" x14ac:dyDescent="0.3">
      <c r="F27" t="s">
        <v>1072</v>
      </c>
    </row>
    <row r="28" spans="1:10" x14ac:dyDescent="0.3">
      <c r="I28" t="s">
        <v>1078</v>
      </c>
      <c r="J28" t="str">
        <f>A41</f>
        <v>R05</v>
      </c>
    </row>
    <row r="30" spans="1:10" x14ac:dyDescent="0.3">
      <c r="A30" s="24" t="s">
        <v>1045</v>
      </c>
      <c r="B30" t="s">
        <v>1041</v>
      </c>
      <c r="C30" t="s">
        <v>1042</v>
      </c>
      <c r="F30" t="s">
        <v>1073</v>
      </c>
      <c r="G30" t="s">
        <v>1074</v>
      </c>
      <c r="H30" t="s">
        <v>1075</v>
      </c>
      <c r="I30" t="s">
        <v>1077</v>
      </c>
      <c r="J30" t="s">
        <v>1076</v>
      </c>
    </row>
    <row r="31" spans="1:10" x14ac:dyDescent="0.3">
      <c r="A31" s="25" t="s">
        <v>9</v>
      </c>
      <c r="B31" s="21">
        <v>189</v>
      </c>
      <c r="C31" s="22">
        <v>1528445</v>
      </c>
      <c r="F31" t="str">
        <f>A31</f>
        <v>R01</v>
      </c>
      <c r="G31">
        <f t="shared" ref="G31:H31" si="0">B31</f>
        <v>189</v>
      </c>
      <c r="H31" s="27">
        <f t="shared" si="0"/>
        <v>1528445</v>
      </c>
      <c r="I31" t="e">
        <f>IF(F31=$J$28,G31,NA())</f>
        <v>#N/A</v>
      </c>
      <c r="J31" t="e">
        <f>IF(F31=$J$28,H31,NA())</f>
        <v>#N/A</v>
      </c>
    </row>
    <row r="32" spans="1:10" x14ac:dyDescent="0.3">
      <c r="A32" s="25" t="s">
        <v>7</v>
      </c>
      <c r="B32" s="21">
        <v>218</v>
      </c>
      <c r="C32" s="22">
        <v>1708223</v>
      </c>
      <c r="F32" t="str">
        <f t="shared" ref="F32:F35" si="1">A32</f>
        <v>R02</v>
      </c>
      <c r="G32">
        <f t="shared" ref="G32:G35" si="2">B32</f>
        <v>218</v>
      </c>
      <c r="H32" s="27">
        <f t="shared" ref="H32:H35" si="3">C32</f>
        <v>1708223</v>
      </c>
      <c r="I32" t="e">
        <f t="shared" ref="I32:I35" si="4">IF(F32=$J$28,G32,NA())</f>
        <v>#N/A</v>
      </c>
      <c r="J32" t="e">
        <f t="shared" ref="J32:J35" si="5">IF(F32=$J$28,H32,NA())</f>
        <v>#N/A</v>
      </c>
    </row>
    <row r="33" spans="1:10" x14ac:dyDescent="0.3">
      <c r="A33" s="25" t="s">
        <v>4</v>
      </c>
      <c r="B33" s="21">
        <v>207</v>
      </c>
      <c r="C33" s="22">
        <v>1732376</v>
      </c>
      <c r="F33" t="str">
        <f t="shared" si="1"/>
        <v>R03</v>
      </c>
      <c r="G33">
        <f t="shared" si="2"/>
        <v>207</v>
      </c>
      <c r="H33" s="27">
        <f t="shared" si="3"/>
        <v>1732376</v>
      </c>
      <c r="I33" t="e">
        <f t="shared" si="4"/>
        <v>#N/A</v>
      </c>
      <c r="J33" t="e">
        <f t="shared" si="5"/>
        <v>#N/A</v>
      </c>
    </row>
    <row r="34" spans="1:10" x14ac:dyDescent="0.3">
      <c r="A34" s="25" t="s">
        <v>11</v>
      </c>
      <c r="B34" s="21">
        <v>186</v>
      </c>
      <c r="C34" s="22">
        <v>1382033</v>
      </c>
      <c r="F34" t="str">
        <f t="shared" si="1"/>
        <v>R04</v>
      </c>
      <c r="G34">
        <f t="shared" si="2"/>
        <v>186</v>
      </c>
      <c r="H34" s="27">
        <f t="shared" si="3"/>
        <v>1382033</v>
      </c>
      <c r="I34" t="e">
        <f t="shared" si="4"/>
        <v>#N/A</v>
      </c>
      <c r="J34" t="e">
        <f t="shared" si="5"/>
        <v>#N/A</v>
      </c>
    </row>
    <row r="35" spans="1:10" x14ac:dyDescent="0.3">
      <c r="A35" s="25" t="s">
        <v>8</v>
      </c>
      <c r="B35" s="21">
        <v>200</v>
      </c>
      <c r="C35" s="22">
        <v>1668632</v>
      </c>
      <c r="F35" t="str">
        <f t="shared" si="1"/>
        <v>R05</v>
      </c>
      <c r="G35">
        <f t="shared" si="2"/>
        <v>200</v>
      </c>
      <c r="H35" s="27">
        <f t="shared" si="3"/>
        <v>1668632</v>
      </c>
      <c r="I35">
        <f t="shared" si="4"/>
        <v>200</v>
      </c>
      <c r="J35">
        <f t="shared" si="5"/>
        <v>1668632</v>
      </c>
    </row>
    <row r="36" spans="1:10" x14ac:dyDescent="0.3">
      <c r="A36" s="25" t="s">
        <v>1046</v>
      </c>
      <c r="B36" s="21">
        <v>1000</v>
      </c>
      <c r="C36" s="22">
        <v>8019709</v>
      </c>
    </row>
    <row r="40" spans="1:10" x14ac:dyDescent="0.3">
      <c r="A40" s="24" t="s">
        <v>1045</v>
      </c>
      <c r="D40" s="24" t="s">
        <v>1041</v>
      </c>
      <c r="E40" s="24" t="s">
        <v>1079</v>
      </c>
    </row>
    <row r="41" spans="1:10" x14ac:dyDescent="0.3">
      <c r="A41" s="28" t="s">
        <v>8</v>
      </c>
      <c r="D41" s="24" t="s">
        <v>1045</v>
      </c>
      <c r="E41" t="s">
        <v>996</v>
      </c>
      <c r="F41" t="s">
        <v>995</v>
      </c>
      <c r="G41" t="s">
        <v>1046</v>
      </c>
    </row>
    <row r="42" spans="1:10" x14ac:dyDescent="0.3">
      <c r="D42" s="25" t="s">
        <v>1038</v>
      </c>
      <c r="E42" s="21">
        <v>144</v>
      </c>
      <c r="F42" s="21">
        <v>132</v>
      </c>
      <c r="G42" s="21">
        <v>276</v>
      </c>
    </row>
    <row r="43" spans="1:10" x14ac:dyDescent="0.3">
      <c r="D43" s="25" t="s">
        <v>1036</v>
      </c>
      <c r="E43" s="21">
        <v>129</v>
      </c>
      <c r="F43" s="21">
        <v>206</v>
      </c>
      <c r="G43" s="21">
        <v>335</v>
      </c>
    </row>
    <row r="44" spans="1:10" x14ac:dyDescent="0.3">
      <c r="D44" s="25" t="s">
        <v>1037</v>
      </c>
      <c r="E44" s="21">
        <v>326</v>
      </c>
      <c r="F44" s="21">
        <v>63</v>
      </c>
      <c r="G44" s="21">
        <v>389</v>
      </c>
    </row>
    <row r="45" spans="1:10" x14ac:dyDescent="0.3">
      <c r="A45" t="s">
        <v>1081</v>
      </c>
      <c r="D45" s="25" t="s">
        <v>1046</v>
      </c>
      <c r="E45" s="21">
        <v>599</v>
      </c>
      <c r="F45" s="21">
        <v>401</v>
      </c>
      <c r="G45" s="21">
        <v>1000</v>
      </c>
    </row>
    <row r="47" spans="1:10" x14ac:dyDescent="0.3">
      <c r="A47" t="s">
        <v>1082</v>
      </c>
      <c r="B47" s="30">
        <f>A8/A4</f>
        <v>0.2</v>
      </c>
    </row>
    <row r="49" spans="4:10" x14ac:dyDescent="0.3">
      <c r="D49" s="24" t="s">
        <v>1045</v>
      </c>
      <c r="E49" t="s">
        <v>1041</v>
      </c>
    </row>
    <row r="50" spans="4:10" x14ac:dyDescent="0.3">
      <c r="D50" s="25">
        <v>2</v>
      </c>
      <c r="E50" s="21">
        <v>10</v>
      </c>
    </row>
    <row r="51" spans="4:10" x14ac:dyDescent="0.3">
      <c r="D51" s="25">
        <v>3</v>
      </c>
      <c r="E51" s="21">
        <v>44</v>
      </c>
    </row>
    <row r="52" spans="4:10" x14ac:dyDescent="0.3">
      <c r="D52" s="25">
        <v>4</v>
      </c>
      <c r="E52" s="21">
        <v>95</v>
      </c>
    </row>
    <row r="53" spans="4:10" x14ac:dyDescent="0.3">
      <c r="D53" s="25">
        <v>5</v>
      </c>
      <c r="E53" s="21">
        <v>51</v>
      </c>
    </row>
    <row r="54" spans="4:10" x14ac:dyDescent="0.3">
      <c r="D54" s="25" t="s">
        <v>1046</v>
      </c>
      <c r="E54" s="21">
        <v>200</v>
      </c>
    </row>
    <row r="61" spans="4:10" x14ac:dyDescent="0.3">
      <c r="D61" s="24" t="s">
        <v>1042</v>
      </c>
      <c r="E61" s="24" t="s">
        <v>1079</v>
      </c>
    </row>
    <row r="62" spans="4:10" x14ac:dyDescent="0.3">
      <c r="D62" s="24" t="s">
        <v>1045</v>
      </c>
      <c r="E62" t="s">
        <v>9</v>
      </c>
      <c r="F62" t="s">
        <v>7</v>
      </c>
      <c r="G62" t="s">
        <v>4</v>
      </c>
      <c r="H62" t="s">
        <v>11</v>
      </c>
      <c r="I62" t="s">
        <v>8</v>
      </c>
      <c r="J62" t="s">
        <v>1046</v>
      </c>
    </row>
    <row r="63" spans="4:10" x14ac:dyDescent="0.3">
      <c r="D63" s="25" t="s">
        <v>1038</v>
      </c>
    </row>
    <row r="64" spans="4:10" x14ac:dyDescent="0.3">
      <c r="D64" s="29" t="s">
        <v>18</v>
      </c>
      <c r="E64" s="22">
        <v>73953</v>
      </c>
      <c r="F64" s="22">
        <v>110556</v>
      </c>
      <c r="G64" s="22">
        <v>106406</v>
      </c>
      <c r="H64" s="22">
        <v>61337</v>
      </c>
      <c r="I64" s="22">
        <v>46480</v>
      </c>
      <c r="J64" s="22">
        <v>398732</v>
      </c>
    </row>
    <row r="65" spans="4:10" x14ac:dyDescent="0.3">
      <c r="D65" s="29" t="s">
        <v>10</v>
      </c>
      <c r="E65" s="22">
        <v>165253</v>
      </c>
      <c r="F65" s="22">
        <v>156538</v>
      </c>
      <c r="G65" s="22">
        <v>100098</v>
      </c>
      <c r="H65" s="22">
        <v>73372</v>
      </c>
      <c r="I65" s="22">
        <v>142926</v>
      </c>
      <c r="J65" s="22">
        <v>638187</v>
      </c>
    </row>
    <row r="66" spans="4:10" x14ac:dyDescent="0.3">
      <c r="D66" s="29" t="s">
        <v>6</v>
      </c>
      <c r="E66" s="22">
        <v>96529</v>
      </c>
      <c r="F66" s="22">
        <v>97940</v>
      </c>
      <c r="G66" s="22">
        <v>134128</v>
      </c>
      <c r="H66" s="22">
        <v>86569</v>
      </c>
      <c r="I66" s="22">
        <v>145001</v>
      </c>
      <c r="J66" s="22">
        <v>560167</v>
      </c>
    </row>
    <row r="67" spans="4:10" x14ac:dyDescent="0.3">
      <c r="D67" s="29" t="s">
        <v>14</v>
      </c>
      <c r="E67" s="22">
        <v>119354</v>
      </c>
      <c r="F67" s="22">
        <v>134128</v>
      </c>
      <c r="G67" s="22">
        <v>71878</v>
      </c>
      <c r="H67" s="22">
        <v>68807</v>
      </c>
      <c r="I67" s="22">
        <v>171810</v>
      </c>
      <c r="J67" s="22">
        <v>565977</v>
      </c>
    </row>
    <row r="68" spans="4:10" x14ac:dyDescent="0.3">
      <c r="D68" s="25" t="s">
        <v>1036</v>
      </c>
    </row>
    <row r="69" spans="4:10" x14ac:dyDescent="0.3">
      <c r="D69" s="29" t="s">
        <v>15</v>
      </c>
      <c r="E69" s="22">
        <v>137365</v>
      </c>
      <c r="F69" s="22">
        <v>66815</v>
      </c>
      <c r="G69" s="22">
        <v>187829</v>
      </c>
      <c r="H69" s="22">
        <v>81921</v>
      </c>
      <c r="I69" s="22">
        <v>89225</v>
      </c>
      <c r="J69" s="22">
        <v>563155</v>
      </c>
    </row>
    <row r="70" spans="4:10" x14ac:dyDescent="0.3">
      <c r="D70" s="29" t="s">
        <v>21</v>
      </c>
      <c r="E70" s="22">
        <v>91632</v>
      </c>
      <c r="F70" s="22">
        <v>189240</v>
      </c>
      <c r="G70" s="22">
        <v>119935</v>
      </c>
      <c r="H70" s="22">
        <v>142926</v>
      </c>
      <c r="I70" s="22">
        <v>99268</v>
      </c>
      <c r="J70" s="22">
        <v>643001</v>
      </c>
    </row>
    <row r="71" spans="4:10" x14ac:dyDescent="0.3">
      <c r="D71" s="29" t="s">
        <v>5</v>
      </c>
      <c r="E71" s="22">
        <v>30876</v>
      </c>
      <c r="F71" s="22">
        <v>150894</v>
      </c>
      <c r="G71" s="22">
        <v>111718</v>
      </c>
      <c r="H71" s="22">
        <v>95948</v>
      </c>
      <c r="I71" s="22">
        <v>123172</v>
      </c>
      <c r="J71" s="22">
        <v>512608</v>
      </c>
    </row>
    <row r="72" spans="4:10" x14ac:dyDescent="0.3">
      <c r="D72" s="29" t="s">
        <v>20</v>
      </c>
      <c r="E72" s="22">
        <v>117445</v>
      </c>
      <c r="F72" s="22">
        <v>105493</v>
      </c>
      <c r="G72" s="22">
        <v>100762</v>
      </c>
      <c r="H72" s="22">
        <v>94205</v>
      </c>
      <c r="I72" s="22">
        <v>129978</v>
      </c>
      <c r="J72" s="22">
        <v>547883</v>
      </c>
    </row>
    <row r="73" spans="4:10" x14ac:dyDescent="0.3">
      <c r="D73" s="29" t="s">
        <v>19</v>
      </c>
      <c r="E73" s="22">
        <v>113046</v>
      </c>
      <c r="F73" s="22">
        <v>113129</v>
      </c>
      <c r="G73" s="22">
        <v>95616</v>
      </c>
      <c r="H73" s="22">
        <v>64491</v>
      </c>
      <c r="I73" s="22">
        <v>62250</v>
      </c>
      <c r="J73" s="22">
        <v>448532</v>
      </c>
    </row>
    <row r="74" spans="4:10" x14ac:dyDescent="0.3">
      <c r="D74" s="25" t="s">
        <v>1037</v>
      </c>
    </row>
    <row r="75" spans="4:10" x14ac:dyDescent="0.3">
      <c r="D75" s="29" t="s">
        <v>22</v>
      </c>
      <c r="E75" s="22">
        <v>102339</v>
      </c>
      <c r="F75" s="22">
        <v>18509</v>
      </c>
      <c r="G75" s="22">
        <v>139440</v>
      </c>
      <c r="H75" s="22">
        <v>82170</v>
      </c>
      <c r="I75" s="22">
        <v>125164</v>
      </c>
      <c r="J75" s="22">
        <v>467622</v>
      </c>
    </row>
    <row r="76" spans="4:10" x14ac:dyDescent="0.3">
      <c r="D76" s="29" t="s">
        <v>13</v>
      </c>
      <c r="E76" s="22">
        <v>132634</v>
      </c>
      <c r="F76" s="22">
        <v>158281</v>
      </c>
      <c r="G76" s="22">
        <v>72127</v>
      </c>
      <c r="H76" s="22">
        <v>118358</v>
      </c>
      <c r="I76" s="22">
        <v>117528</v>
      </c>
      <c r="J76" s="22">
        <v>598928</v>
      </c>
    </row>
    <row r="77" spans="4:10" x14ac:dyDescent="0.3">
      <c r="D77" s="29" t="s">
        <v>3</v>
      </c>
      <c r="E77" s="22">
        <v>74700</v>
      </c>
      <c r="F77" s="22">
        <v>84328</v>
      </c>
      <c r="G77" s="22">
        <v>79680</v>
      </c>
      <c r="H77" s="22">
        <v>78020</v>
      </c>
      <c r="I77" s="22">
        <v>99019</v>
      </c>
      <c r="J77" s="22">
        <v>415747</v>
      </c>
    </row>
    <row r="78" spans="4:10" x14ac:dyDescent="0.3">
      <c r="D78" s="29" t="s">
        <v>16</v>
      </c>
      <c r="E78" s="22">
        <v>74700</v>
      </c>
      <c r="F78" s="22">
        <v>122010</v>
      </c>
      <c r="G78" s="22">
        <v>134211</v>
      </c>
      <c r="H78" s="22">
        <v>109062</v>
      </c>
      <c r="I78" s="22">
        <v>78103</v>
      </c>
      <c r="J78" s="22">
        <v>518086</v>
      </c>
    </row>
    <row r="79" spans="4:10" x14ac:dyDescent="0.3">
      <c r="D79" s="29" t="s">
        <v>12</v>
      </c>
      <c r="E79" s="22">
        <v>104165</v>
      </c>
      <c r="F79" s="22">
        <v>42828</v>
      </c>
      <c r="G79" s="22">
        <v>155542</v>
      </c>
      <c r="H79" s="22">
        <v>154629</v>
      </c>
      <c r="I79" s="22">
        <v>142926</v>
      </c>
      <c r="J79" s="22">
        <v>600090</v>
      </c>
    </row>
    <row r="80" spans="4:10" x14ac:dyDescent="0.3">
      <c r="D80" s="29" t="s">
        <v>17</v>
      </c>
      <c r="E80" s="22">
        <v>94454</v>
      </c>
      <c r="F80" s="22">
        <v>157534</v>
      </c>
      <c r="G80" s="22">
        <v>123006</v>
      </c>
      <c r="H80" s="22">
        <v>70218</v>
      </c>
      <c r="I80" s="22">
        <v>95782</v>
      </c>
      <c r="J80" s="22">
        <v>540994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E98B-F4E9-4D0C-A042-1D07B395C567}">
  <dimension ref="O20:U38"/>
  <sheetViews>
    <sheetView tabSelected="1" topLeftCell="A2" zoomScale="62" zoomScaleNormal="100" workbookViewId="0">
      <selection activeCell="M44" sqref="M44"/>
    </sheetView>
  </sheetViews>
  <sheetFormatPr defaultRowHeight="14.4" x14ac:dyDescent="0.3"/>
  <cols>
    <col min="1" max="13" width="8.796875" style="26"/>
    <col min="14" max="14" width="5.796875" style="26" customWidth="1"/>
    <col min="15" max="15" width="10.3984375" style="26" customWidth="1"/>
    <col min="16" max="16" width="9.296875" style="26" customWidth="1"/>
    <col min="17" max="18" width="12.796875" style="26" customWidth="1"/>
    <col min="19" max="20" width="10.59765625" style="26" customWidth="1"/>
    <col min="21" max="21" width="9.796875" style="26" customWidth="1"/>
    <col min="22" max="22" width="15.59765625" style="26" bestFit="1" customWidth="1"/>
    <col min="23" max="23" width="11.69921875" style="26" customWidth="1"/>
    <col min="24" max="16384" width="8.796875" style="26"/>
  </cols>
  <sheetData>
    <row r="20" spans="15:21" ht="16.2" x14ac:dyDescent="0.4">
      <c r="O20" s="31"/>
      <c r="P20" s="42" t="s">
        <v>9</v>
      </c>
      <c r="Q20" s="42" t="s">
        <v>7</v>
      </c>
      <c r="R20" s="42" t="s">
        <v>4</v>
      </c>
      <c r="S20" s="42" t="s">
        <v>11</v>
      </c>
      <c r="T20" s="42" t="s">
        <v>8</v>
      </c>
      <c r="U20" s="43" t="s">
        <v>1080</v>
      </c>
    </row>
    <row r="21" spans="15:21" ht="16.2" x14ac:dyDescent="0.4">
      <c r="O21" s="44" t="s">
        <v>1038</v>
      </c>
      <c r="P21" s="32"/>
      <c r="Q21" s="32"/>
      <c r="R21" s="32"/>
      <c r="S21" s="32"/>
      <c r="T21" s="32"/>
      <c r="U21" s="33"/>
    </row>
    <row r="22" spans="15:21" x14ac:dyDescent="0.3">
      <c r="O22" s="36" t="s">
        <v>18</v>
      </c>
      <c r="P22" s="37">
        <v>73953</v>
      </c>
      <c r="Q22" s="37">
        <v>110556</v>
      </c>
      <c r="R22" s="37">
        <v>106406</v>
      </c>
      <c r="S22" s="37">
        <v>61337</v>
      </c>
      <c r="T22" s="37">
        <v>46480</v>
      </c>
      <c r="U22" s="38">
        <v>398732</v>
      </c>
    </row>
    <row r="23" spans="15:21" x14ac:dyDescent="0.3">
      <c r="O23" s="36" t="s">
        <v>10</v>
      </c>
      <c r="P23" s="37">
        <v>165253</v>
      </c>
      <c r="Q23" s="37">
        <v>156538</v>
      </c>
      <c r="R23" s="37">
        <v>100098</v>
      </c>
      <c r="S23" s="37">
        <v>73372</v>
      </c>
      <c r="T23" s="37">
        <v>142926</v>
      </c>
      <c r="U23" s="38">
        <v>638187</v>
      </c>
    </row>
    <row r="24" spans="15:21" x14ac:dyDescent="0.3">
      <c r="O24" s="36" t="s">
        <v>6</v>
      </c>
      <c r="P24" s="37">
        <v>96529</v>
      </c>
      <c r="Q24" s="37">
        <v>97940</v>
      </c>
      <c r="R24" s="37">
        <v>134128</v>
      </c>
      <c r="S24" s="37">
        <v>86569</v>
      </c>
      <c r="T24" s="37">
        <v>145001</v>
      </c>
      <c r="U24" s="38">
        <v>560167</v>
      </c>
    </row>
    <row r="25" spans="15:21" x14ac:dyDescent="0.3">
      <c r="O25" s="36" t="s">
        <v>14</v>
      </c>
      <c r="P25" s="37">
        <v>119354</v>
      </c>
      <c r="Q25" s="37">
        <v>134128</v>
      </c>
      <c r="R25" s="37">
        <v>71878</v>
      </c>
      <c r="S25" s="37">
        <v>68807</v>
      </c>
      <c r="T25" s="37">
        <v>171810</v>
      </c>
      <c r="U25" s="38">
        <v>565977</v>
      </c>
    </row>
    <row r="26" spans="15:21" ht="16.2" x14ac:dyDescent="0.4">
      <c r="O26" s="44" t="s">
        <v>1036</v>
      </c>
      <c r="P26" s="37"/>
      <c r="Q26" s="37"/>
      <c r="R26" s="37"/>
      <c r="S26" s="37"/>
      <c r="T26" s="37"/>
      <c r="U26" s="38"/>
    </row>
    <row r="27" spans="15:21" x14ac:dyDescent="0.3">
      <c r="O27" s="36" t="s">
        <v>15</v>
      </c>
      <c r="P27" s="37">
        <v>137365</v>
      </c>
      <c r="Q27" s="37">
        <v>66815</v>
      </c>
      <c r="R27" s="37">
        <v>187829</v>
      </c>
      <c r="S27" s="37">
        <v>81921</v>
      </c>
      <c r="T27" s="37">
        <v>89225</v>
      </c>
      <c r="U27" s="38">
        <v>563155</v>
      </c>
    </row>
    <row r="28" spans="15:21" ht="13.2" customHeight="1" x14ac:dyDescent="0.3">
      <c r="O28" s="36" t="s">
        <v>21</v>
      </c>
      <c r="P28" s="37">
        <v>91632</v>
      </c>
      <c r="Q28" s="37">
        <v>189240</v>
      </c>
      <c r="R28" s="37">
        <v>119935</v>
      </c>
      <c r="S28" s="37">
        <v>142926</v>
      </c>
      <c r="T28" s="37">
        <v>99268</v>
      </c>
      <c r="U28" s="38">
        <v>643001</v>
      </c>
    </row>
    <row r="29" spans="15:21" x14ac:dyDescent="0.3">
      <c r="O29" s="36" t="s">
        <v>5</v>
      </c>
      <c r="P29" s="37">
        <v>30876</v>
      </c>
      <c r="Q29" s="37">
        <v>150894</v>
      </c>
      <c r="R29" s="37">
        <v>111718</v>
      </c>
      <c r="S29" s="37">
        <v>95948</v>
      </c>
      <c r="T29" s="37">
        <v>123172</v>
      </c>
      <c r="U29" s="38">
        <v>512608</v>
      </c>
    </row>
    <row r="30" spans="15:21" x14ac:dyDescent="0.3">
      <c r="O30" s="36" t="s">
        <v>20</v>
      </c>
      <c r="P30" s="37">
        <v>117445</v>
      </c>
      <c r="Q30" s="37">
        <v>105493</v>
      </c>
      <c r="R30" s="37">
        <v>100762</v>
      </c>
      <c r="S30" s="37">
        <v>94205</v>
      </c>
      <c r="T30" s="37">
        <v>129978</v>
      </c>
      <c r="U30" s="38">
        <v>547883</v>
      </c>
    </row>
    <row r="31" spans="15:21" x14ac:dyDescent="0.3">
      <c r="O31" s="36" t="s">
        <v>19</v>
      </c>
      <c r="P31" s="37">
        <v>113046</v>
      </c>
      <c r="Q31" s="37">
        <v>113129</v>
      </c>
      <c r="R31" s="37">
        <v>95616</v>
      </c>
      <c r="S31" s="37">
        <v>64491</v>
      </c>
      <c r="T31" s="37">
        <v>62250</v>
      </c>
      <c r="U31" s="38">
        <v>448532</v>
      </c>
    </row>
    <row r="32" spans="15:21" ht="16.2" x14ac:dyDescent="0.4">
      <c r="O32" s="44" t="s">
        <v>1037</v>
      </c>
      <c r="P32" s="34"/>
      <c r="Q32" s="34"/>
      <c r="R32" s="34"/>
      <c r="S32" s="34"/>
      <c r="T32" s="34"/>
      <c r="U32" s="35"/>
    </row>
    <row r="33" spans="15:21" x14ac:dyDescent="0.3">
      <c r="O33" s="36" t="s">
        <v>22</v>
      </c>
      <c r="P33" s="37">
        <v>102339</v>
      </c>
      <c r="Q33" s="37">
        <v>18509</v>
      </c>
      <c r="R33" s="37">
        <v>139440</v>
      </c>
      <c r="S33" s="37">
        <v>82170</v>
      </c>
      <c r="T33" s="37">
        <v>125164</v>
      </c>
      <c r="U33" s="38">
        <v>467622</v>
      </c>
    </row>
    <row r="34" spans="15:21" x14ac:dyDescent="0.3">
      <c r="O34" s="36" t="s">
        <v>13</v>
      </c>
      <c r="P34" s="37">
        <v>132634</v>
      </c>
      <c r="Q34" s="37">
        <v>158281</v>
      </c>
      <c r="R34" s="37">
        <v>72127</v>
      </c>
      <c r="S34" s="37">
        <v>118358</v>
      </c>
      <c r="T34" s="37">
        <v>117528</v>
      </c>
      <c r="U34" s="38">
        <v>598928</v>
      </c>
    </row>
    <row r="35" spans="15:21" x14ac:dyDescent="0.3">
      <c r="O35" s="36" t="s">
        <v>3</v>
      </c>
      <c r="P35" s="37">
        <v>74700</v>
      </c>
      <c r="Q35" s="37">
        <v>84328</v>
      </c>
      <c r="R35" s="37">
        <v>79680</v>
      </c>
      <c r="S35" s="37">
        <v>78020</v>
      </c>
      <c r="T35" s="37">
        <v>99019</v>
      </c>
      <c r="U35" s="38">
        <v>415747</v>
      </c>
    </row>
    <row r="36" spans="15:21" x14ac:dyDescent="0.3">
      <c r="O36" s="36" t="s">
        <v>16</v>
      </c>
      <c r="P36" s="37">
        <v>74700</v>
      </c>
      <c r="Q36" s="37">
        <v>122010</v>
      </c>
      <c r="R36" s="37">
        <v>134211</v>
      </c>
      <c r="S36" s="37">
        <v>109062</v>
      </c>
      <c r="T36" s="37">
        <v>78103</v>
      </c>
      <c r="U36" s="38">
        <v>518086</v>
      </c>
    </row>
    <row r="37" spans="15:21" x14ac:dyDescent="0.3">
      <c r="O37" s="36" t="s">
        <v>12</v>
      </c>
      <c r="P37" s="37">
        <v>104165</v>
      </c>
      <c r="Q37" s="37">
        <v>42828</v>
      </c>
      <c r="R37" s="37">
        <v>155542</v>
      </c>
      <c r="S37" s="37">
        <v>154629</v>
      </c>
      <c r="T37" s="37">
        <v>142926</v>
      </c>
      <c r="U37" s="38">
        <v>600090</v>
      </c>
    </row>
    <row r="38" spans="15:21" x14ac:dyDescent="0.3">
      <c r="O38" s="39" t="s">
        <v>17</v>
      </c>
      <c r="P38" s="40">
        <v>94454</v>
      </c>
      <c r="Q38" s="40">
        <v>157534</v>
      </c>
      <c r="R38" s="40">
        <v>123006</v>
      </c>
      <c r="S38" s="40">
        <v>70218</v>
      </c>
      <c r="T38" s="40">
        <v>95782</v>
      </c>
      <c r="U38" s="41">
        <v>540994</v>
      </c>
    </row>
  </sheetData>
  <phoneticPr fontId="1" type="noConversion"/>
  <conditionalFormatting sqref="O20:U38">
    <cfRule type="dataBar" priority="1">
      <dataBar>
        <cfvo type="min"/>
        <cfvo type="max"/>
        <color rgb="FF638EC6"/>
      </dataBar>
      <extLst>
        <ext xmlns:x14="http://schemas.microsoft.com/office/spreadsheetml/2009/9/main" uri="{B025F937-C7B1-47D3-B67F-A62EFF666E3E}">
          <x14:id>{42BAD89C-03B5-4E3D-AA8C-CBAF69A722D0}</x14:id>
        </ext>
      </extLst>
    </cfRule>
  </conditionalFormatting>
  <conditionalFormatting sqref="P22:T38">
    <cfRule type="dataBar" priority="3">
      <dataBar>
        <cfvo type="min"/>
        <cfvo type="max"/>
        <color rgb="FFFFB628"/>
      </dataBar>
      <extLst>
        <ext xmlns:x14="http://schemas.microsoft.com/office/spreadsheetml/2009/9/main" uri="{B025F937-C7B1-47D3-B67F-A62EFF666E3E}">
          <x14:id>{B517899E-ABBA-4F5D-9533-A42B9512521D}</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2BAD89C-03B5-4E3D-AA8C-CBAF69A722D0}">
            <x14:dataBar minLength="0" maxLength="100" border="1" negativeBarBorderColorSameAsPositive="0">
              <x14:cfvo type="autoMin"/>
              <x14:cfvo type="autoMax"/>
              <x14:borderColor rgb="FF638EC6"/>
              <x14:negativeFillColor rgb="FFFF0000"/>
              <x14:negativeBorderColor rgb="FFFF0000"/>
              <x14:axisColor rgb="FF000000"/>
            </x14:dataBar>
          </x14:cfRule>
          <xm:sqref>O20:U38</xm:sqref>
        </x14:conditionalFormatting>
        <x14:conditionalFormatting xmlns:xm="http://schemas.microsoft.com/office/excel/2006/main">
          <x14:cfRule type="expression" priority="6" id="{E47F1092-C8F0-46B4-9AE6-0EEDB25513E5}">
            <xm:f>P$20=pivot!$A$41</xm:f>
            <x14:dxf>
              <fill>
                <patternFill>
                  <bgColor theme="4" tint="0.59996337778862885"/>
                </patternFill>
              </fill>
            </x14:dxf>
          </x14:cfRule>
          <xm:sqref>P20:T38</xm:sqref>
        </x14:conditionalFormatting>
        <x14:conditionalFormatting xmlns:xm="http://schemas.microsoft.com/office/excel/2006/main">
          <x14:cfRule type="dataBar" id="{B517899E-ABBA-4F5D-9533-A42B9512521D}">
            <x14:dataBar minLength="0" maxLength="100" gradient="0">
              <x14:cfvo type="autoMin"/>
              <x14:cfvo type="autoMax"/>
              <x14:negativeFillColor rgb="FFFF0000"/>
              <x14:axisColor rgb="FF000000"/>
            </x14:dataBar>
          </x14:cfRule>
          <xm:sqref>P22:T38</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89" zoomScaleNormal="89" workbookViewId="0">
      <selection activeCell="N11" sqref="N11"/>
    </sheetView>
  </sheetViews>
  <sheetFormatPr defaultRowHeight="14.4" x14ac:dyDescent="0.3"/>
  <cols>
    <col min="1" max="1" width="3.19921875" customWidth="1"/>
    <col min="2" max="2" width="14.59765625" customWidth="1"/>
    <col min="3" max="3" width="12.8984375" customWidth="1"/>
    <col min="4" max="4" width="7.8984375" customWidth="1"/>
    <col min="5" max="5" width="15" customWidth="1"/>
    <col min="6" max="6" width="16.09765625" customWidth="1"/>
    <col min="7" max="7" width="22.296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12" customFormat="1" ht="48" customHeight="1" x14ac:dyDescent="0.3">
      <c r="B1" s="20" t="s">
        <v>997</v>
      </c>
    </row>
    <row r="2" spans="2:20" x14ac:dyDescent="0.3">
      <c r="R2" s="1"/>
    </row>
    <row r="3" spans="2:20" x14ac:dyDescent="0.3">
      <c r="B3" s="16" t="s">
        <v>23</v>
      </c>
      <c r="C3" s="16" t="s">
        <v>0</v>
      </c>
      <c r="D3" s="17" t="s">
        <v>1</v>
      </c>
      <c r="E3" s="18" t="s">
        <v>1039</v>
      </c>
      <c r="F3" s="18" t="s">
        <v>2</v>
      </c>
      <c r="G3" s="16" t="s">
        <v>1034</v>
      </c>
      <c r="H3" s="16" t="s">
        <v>992</v>
      </c>
      <c r="I3" s="19" t="s">
        <v>1030</v>
      </c>
      <c r="J3" s="19" t="s">
        <v>1031</v>
      </c>
      <c r="K3" s="19" t="s">
        <v>1032</v>
      </c>
      <c r="L3" s="19" t="s">
        <v>1033</v>
      </c>
      <c r="Q3" s="13" t="s">
        <v>0</v>
      </c>
      <c r="R3" s="14" t="s">
        <v>1035</v>
      </c>
      <c r="S3" s="14" t="s">
        <v>993</v>
      </c>
      <c r="T3" s="15" t="s">
        <v>994</v>
      </c>
    </row>
    <row r="4" spans="2:20" x14ac:dyDescent="0.3">
      <c r="B4" t="s">
        <v>24</v>
      </c>
      <c r="C4" t="s">
        <v>18</v>
      </c>
      <c r="D4">
        <v>116</v>
      </c>
      <c r="E4" s="9" t="s">
        <v>8</v>
      </c>
      <c r="F4" s="10">
        <v>44927</v>
      </c>
      <c r="G4">
        <v>10624</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4" t="s">
        <v>15</v>
      </c>
      <c r="R4" s="3" t="s">
        <v>995</v>
      </c>
      <c r="S4" s="2">
        <v>41</v>
      </c>
      <c r="T4" s="5" t="s">
        <v>1036</v>
      </c>
    </row>
    <row r="5" spans="2:20" x14ac:dyDescent="0.3">
      <c r="B5" t="s">
        <v>25</v>
      </c>
      <c r="C5" t="s">
        <v>10</v>
      </c>
      <c r="D5">
        <v>119</v>
      </c>
      <c r="E5" s="9" t="s">
        <v>8</v>
      </c>
      <c r="F5" s="10">
        <v>44927</v>
      </c>
      <c r="G5">
        <v>11205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4" t="s">
        <v>22</v>
      </c>
      <c r="R5" s="3" t="s">
        <v>995</v>
      </c>
      <c r="S5" s="2">
        <v>31</v>
      </c>
      <c r="T5" s="5" t="s">
        <v>1037</v>
      </c>
    </row>
    <row r="6" spans="2:20" x14ac:dyDescent="0.3">
      <c r="B6" t="s">
        <v>26</v>
      </c>
      <c r="C6" t="s">
        <v>21</v>
      </c>
      <c r="D6">
        <v>68</v>
      </c>
      <c r="E6" s="9" t="s">
        <v>7</v>
      </c>
      <c r="F6" s="10">
        <v>44927</v>
      </c>
      <c r="G6">
        <v>5478</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4" t="s">
        <v>18</v>
      </c>
      <c r="R6" s="3" t="s">
        <v>995</v>
      </c>
      <c r="S6" s="2">
        <v>26</v>
      </c>
      <c r="T6" s="5" t="s">
        <v>1038</v>
      </c>
    </row>
    <row r="7" spans="2:20" x14ac:dyDescent="0.3">
      <c r="B7" t="s">
        <v>27</v>
      </c>
      <c r="C7" t="s">
        <v>19</v>
      </c>
      <c r="D7">
        <v>119</v>
      </c>
      <c r="E7" s="9" t="s">
        <v>7</v>
      </c>
      <c r="F7" s="10">
        <v>44927</v>
      </c>
      <c r="G7">
        <v>1826</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4" t="s">
        <v>10</v>
      </c>
      <c r="R7" s="3" t="s">
        <v>995</v>
      </c>
      <c r="S7" s="2">
        <v>36</v>
      </c>
      <c r="T7" s="5" t="s">
        <v>1038</v>
      </c>
    </row>
    <row r="8" spans="2:20" x14ac:dyDescent="0.3">
      <c r="B8" t="s">
        <v>28</v>
      </c>
      <c r="C8" t="s">
        <v>6</v>
      </c>
      <c r="D8">
        <v>128</v>
      </c>
      <c r="E8" s="9" t="s">
        <v>9</v>
      </c>
      <c r="F8" s="10">
        <v>44928</v>
      </c>
      <c r="G8">
        <v>2573</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4" t="s">
        <v>21</v>
      </c>
      <c r="R8" s="3" t="s">
        <v>995</v>
      </c>
      <c r="S8" s="2">
        <v>37</v>
      </c>
      <c r="T8" s="5" t="s">
        <v>1036</v>
      </c>
    </row>
    <row r="9" spans="2:20" x14ac:dyDescent="0.3">
      <c r="B9" t="s">
        <v>29</v>
      </c>
      <c r="C9" t="s">
        <v>6</v>
      </c>
      <c r="D9">
        <v>49</v>
      </c>
      <c r="E9" s="9" t="s">
        <v>7</v>
      </c>
      <c r="F9" s="10">
        <v>44929</v>
      </c>
      <c r="G9">
        <v>11205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4" t="s">
        <v>5</v>
      </c>
      <c r="R9" s="3" t="s">
        <v>995</v>
      </c>
      <c r="S9" s="2">
        <v>23</v>
      </c>
      <c r="T9" s="5" t="s">
        <v>1036</v>
      </c>
    </row>
    <row r="10" spans="2:20" x14ac:dyDescent="0.3">
      <c r="B10" t="s">
        <v>30</v>
      </c>
      <c r="C10" t="s">
        <v>13</v>
      </c>
      <c r="D10">
        <v>84</v>
      </c>
      <c r="E10" s="9" t="s">
        <v>8</v>
      </c>
      <c r="F10" s="10">
        <v>44929</v>
      </c>
      <c r="G10">
        <v>4980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4" t="s">
        <v>13</v>
      </c>
      <c r="R10" s="3" t="s">
        <v>996</v>
      </c>
      <c r="S10" s="2">
        <v>22</v>
      </c>
      <c r="T10" s="5" t="s">
        <v>1037</v>
      </c>
    </row>
    <row r="11" spans="2:20" x14ac:dyDescent="0.3">
      <c r="B11" t="s">
        <v>31</v>
      </c>
      <c r="C11" t="s">
        <v>18</v>
      </c>
      <c r="D11">
        <v>103</v>
      </c>
      <c r="E11" s="9" t="s">
        <v>11</v>
      </c>
      <c r="F11" s="10">
        <v>44929</v>
      </c>
      <c r="G11">
        <v>12284</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4" t="s">
        <v>3</v>
      </c>
      <c r="R11" s="3" t="s">
        <v>996</v>
      </c>
      <c r="S11" s="2">
        <v>42</v>
      </c>
      <c r="T11" s="5" t="s">
        <v>1037</v>
      </c>
    </row>
    <row r="12" spans="2:20" x14ac:dyDescent="0.3">
      <c r="B12" t="s">
        <v>32</v>
      </c>
      <c r="C12" t="s">
        <v>21</v>
      </c>
      <c r="D12">
        <v>31</v>
      </c>
      <c r="E12" s="9" t="s">
        <v>7</v>
      </c>
      <c r="F12" s="10">
        <v>44929</v>
      </c>
      <c r="G12">
        <v>11205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4" t="s">
        <v>20</v>
      </c>
      <c r="R12" s="3" t="s">
        <v>996</v>
      </c>
      <c r="S12" s="2">
        <v>25</v>
      </c>
      <c r="T12" s="5" t="s">
        <v>1036</v>
      </c>
    </row>
    <row r="13" spans="2:20" x14ac:dyDescent="0.3">
      <c r="B13" t="s">
        <v>33</v>
      </c>
      <c r="C13" t="s">
        <v>16</v>
      </c>
      <c r="D13">
        <v>44</v>
      </c>
      <c r="E13" s="9" t="s">
        <v>4</v>
      </c>
      <c r="F13" s="10">
        <v>44929</v>
      </c>
      <c r="G13">
        <v>8715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4" t="s">
        <v>16</v>
      </c>
      <c r="R13" s="3" t="s">
        <v>996</v>
      </c>
      <c r="S13" s="2">
        <v>30</v>
      </c>
      <c r="T13" s="5" t="s">
        <v>1037</v>
      </c>
    </row>
    <row r="14" spans="2:20" x14ac:dyDescent="0.3">
      <c r="B14" t="s">
        <v>34</v>
      </c>
      <c r="C14" t="s">
        <v>6</v>
      </c>
      <c r="D14">
        <v>102</v>
      </c>
      <c r="E14" s="9" t="s">
        <v>7</v>
      </c>
      <c r="F14" s="10">
        <v>44929</v>
      </c>
      <c r="G14">
        <v>5727</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4" t="s">
        <v>6</v>
      </c>
      <c r="R14" s="3" t="s">
        <v>996</v>
      </c>
      <c r="S14" s="2">
        <v>30</v>
      </c>
      <c r="T14" s="5" t="s">
        <v>1038</v>
      </c>
    </row>
    <row r="15" spans="2:20" x14ac:dyDescent="0.3">
      <c r="B15" t="s">
        <v>35</v>
      </c>
      <c r="C15" t="s">
        <v>12</v>
      </c>
      <c r="D15">
        <v>135</v>
      </c>
      <c r="E15" s="9" t="s">
        <v>8</v>
      </c>
      <c r="F15" s="10">
        <v>44929</v>
      </c>
      <c r="G15">
        <v>3818</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4" t="s">
        <v>14</v>
      </c>
      <c r="R15" s="3" t="s">
        <v>996</v>
      </c>
      <c r="S15" s="2">
        <v>28</v>
      </c>
      <c r="T15" s="5" t="s">
        <v>1038</v>
      </c>
    </row>
    <row r="16" spans="2:20" x14ac:dyDescent="0.3">
      <c r="B16" t="s">
        <v>36</v>
      </c>
      <c r="C16" t="s">
        <v>22</v>
      </c>
      <c r="D16">
        <v>98</v>
      </c>
      <c r="E16" s="9" t="s">
        <v>7</v>
      </c>
      <c r="F16" s="10">
        <v>44930</v>
      </c>
      <c r="G16">
        <v>8964</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4" t="s">
        <v>12</v>
      </c>
      <c r="R16" s="3" t="s">
        <v>996</v>
      </c>
      <c r="S16" s="2">
        <v>37</v>
      </c>
      <c r="T16" s="5" t="s">
        <v>1037</v>
      </c>
    </row>
    <row r="17" spans="2:20" x14ac:dyDescent="0.3">
      <c r="B17" t="s">
        <v>37</v>
      </c>
      <c r="C17" t="s">
        <v>16</v>
      </c>
      <c r="D17">
        <v>139</v>
      </c>
      <c r="E17" s="9" t="s">
        <v>7</v>
      </c>
      <c r="F17" s="10">
        <v>44930</v>
      </c>
      <c r="G17">
        <v>7968</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4" t="s">
        <v>19</v>
      </c>
      <c r="R17" s="3" t="s">
        <v>996</v>
      </c>
      <c r="S17" s="2">
        <v>38</v>
      </c>
      <c r="T17" s="5" t="s">
        <v>1036</v>
      </c>
    </row>
    <row r="18" spans="2:20" x14ac:dyDescent="0.3">
      <c r="B18" t="s">
        <v>38</v>
      </c>
      <c r="C18" t="s">
        <v>12</v>
      </c>
      <c r="D18">
        <v>48</v>
      </c>
      <c r="E18" s="9" t="s">
        <v>9</v>
      </c>
      <c r="F18" s="10">
        <v>44930</v>
      </c>
      <c r="G18">
        <v>5644</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6" t="s">
        <v>17</v>
      </c>
      <c r="R18" s="11" t="s">
        <v>996</v>
      </c>
      <c r="S18" s="7">
        <v>43</v>
      </c>
      <c r="T18" s="8" t="s">
        <v>1037</v>
      </c>
    </row>
    <row r="19" spans="2:20" x14ac:dyDescent="0.3">
      <c r="B19" t="s">
        <v>39</v>
      </c>
      <c r="C19" t="s">
        <v>16</v>
      </c>
      <c r="D19">
        <v>176</v>
      </c>
      <c r="E19" s="9" t="s">
        <v>8</v>
      </c>
      <c r="F19" s="10">
        <v>44931</v>
      </c>
      <c r="G19">
        <v>1992</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40</v>
      </c>
      <c r="C20" t="s">
        <v>16</v>
      </c>
      <c r="D20">
        <v>99</v>
      </c>
      <c r="E20" s="9" t="s">
        <v>9</v>
      </c>
      <c r="F20" s="10">
        <v>44931</v>
      </c>
      <c r="G20">
        <v>16185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41</v>
      </c>
      <c r="C21" t="s">
        <v>20</v>
      </c>
      <c r="D21">
        <v>28</v>
      </c>
      <c r="E21" s="9" t="s">
        <v>4</v>
      </c>
      <c r="F21" s="10">
        <v>44931</v>
      </c>
      <c r="G21">
        <v>2324</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42</v>
      </c>
      <c r="C22" t="s">
        <v>13</v>
      </c>
      <c r="D22">
        <v>54</v>
      </c>
      <c r="E22" s="9" t="s">
        <v>7</v>
      </c>
      <c r="F22" s="10">
        <v>44931</v>
      </c>
      <c r="G22">
        <v>14110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43</v>
      </c>
      <c r="C23" t="s">
        <v>5</v>
      </c>
      <c r="D23">
        <v>48</v>
      </c>
      <c r="E23" s="9" t="s">
        <v>8</v>
      </c>
      <c r="F23" s="10">
        <v>44932</v>
      </c>
      <c r="G23">
        <v>2490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44</v>
      </c>
      <c r="C24" t="s">
        <v>10</v>
      </c>
      <c r="D24">
        <v>128</v>
      </c>
      <c r="E24" s="9" t="s">
        <v>8</v>
      </c>
      <c r="F24" s="10">
        <v>44932</v>
      </c>
      <c r="G24">
        <v>5976</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45</v>
      </c>
      <c r="C25" t="s">
        <v>10</v>
      </c>
      <c r="D25">
        <v>38</v>
      </c>
      <c r="E25" s="9" t="s">
        <v>11</v>
      </c>
      <c r="F25" s="10">
        <v>44933</v>
      </c>
      <c r="G25">
        <v>7636</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46</v>
      </c>
      <c r="C26" t="s">
        <v>18</v>
      </c>
      <c r="D26">
        <v>67</v>
      </c>
      <c r="E26" s="9" t="s">
        <v>11</v>
      </c>
      <c r="F26" s="10">
        <v>44934</v>
      </c>
      <c r="G26">
        <v>13695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47</v>
      </c>
      <c r="C27" t="s">
        <v>17</v>
      </c>
      <c r="D27">
        <v>58</v>
      </c>
      <c r="E27" s="9" t="s">
        <v>7</v>
      </c>
      <c r="F27" s="10">
        <v>44934</v>
      </c>
      <c r="G27">
        <v>11620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48</v>
      </c>
      <c r="C28" t="s">
        <v>16</v>
      </c>
      <c r="D28">
        <v>54</v>
      </c>
      <c r="E28" s="9" t="s">
        <v>9</v>
      </c>
      <c r="F28" s="10">
        <v>44934</v>
      </c>
      <c r="G28">
        <v>9213</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49</v>
      </c>
      <c r="C29" t="s">
        <v>14</v>
      </c>
      <c r="D29">
        <v>28</v>
      </c>
      <c r="E29" s="9" t="s">
        <v>8</v>
      </c>
      <c r="F29" s="10">
        <v>44935</v>
      </c>
      <c r="G29">
        <v>5229</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50</v>
      </c>
      <c r="C30" t="s">
        <v>22</v>
      </c>
      <c r="D30">
        <v>73</v>
      </c>
      <c r="E30" s="9" t="s">
        <v>8</v>
      </c>
      <c r="F30" s="10">
        <v>44935</v>
      </c>
      <c r="G30">
        <v>6640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51</v>
      </c>
      <c r="C31" t="s">
        <v>6</v>
      </c>
      <c r="D31">
        <v>81</v>
      </c>
      <c r="E31" s="9" t="s">
        <v>8</v>
      </c>
      <c r="F31" s="10">
        <v>44936</v>
      </c>
      <c r="G31">
        <v>4150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52</v>
      </c>
      <c r="C32" t="s">
        <v>20</v>
      </c>
      <c r="D32">
        <v>31</v>
      </c>
      <c r="E32" s="9" t="s">
        <v>11</v>
      </c>
      <c r="F32" s="10">
        <v>44936</v>
      </c>
      <c r="G32">
        <v>10209</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53</v>
      </c>
      <c r="C33" t="s">
        <v>17</v>
      </c>
      <c r="D33">
        <v>155</v>
      </c>
      <c r="E33" s="9" t="s">
        <v>9</v>
      </c>
      <c r="F33" s="10">
        <v>44936</v>
      </c>
      <c r="G33">
        <v>9130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54</v>
      </c>
      <c r="C34" t="s">
        <v>20</v>
      </c>
      <c r="D34">
        <v>80</v>
      </c>
      <c r="E34" s="9" t="s">
        <v>8</v>
      </c>
      <c r="F34" s="10">
        <v>44936</v>
      </c>
      <c r="G34">
        <v>11620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55</v>
      </c>
      <c r="C35" t="s">
        <v>6</v>
      </c>
      <c r="D35">
        <v>82</v>
      </c>
      <c r="E35" s="9" t="s">
        <v>8</v>
      </c>
      <c r="F35" s="10">
        <v>44938</v>
      </c>
      <c r="G35">
        <v>3486</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56</v>
      </c>
      <c r="C36" t="s">
        <v>6</v>
      </c>
      <c r="D36">
        <v>29</v>
      </c>
      <c r="E36" s="9" t="s">
        <v>9</v>
      </c>
      <c r="F36" s="10">
        <v>44938</v>
      </c>
      <c r="G36">
        <v>14110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57</v>
      </c>
      <c r="C37" t="s">
        <v>5</v>
      </c>
      <c r="D37">
        <v>160</v>
      </c>
      <c r="E37" s="9" t="s">
        <v>7</v>
      </c>
      <c r="F37" s="10">
        <v>44940</v>
      </c>
      <c r="G37">
        <v>8715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58</v>
      </c>
      <c r="C38" t="s">
        <v>15</v>
      </c>
      <c r="D38">
        <v>105</v>
      </c>
      <c r="E38" s="9" t="s">
        <v>8</v>
      </c>
      <c r="F38" s="10">
        <v>44941</v>
      </c>
      <c r="G38">
        <v>10375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59</v>
      </c>
      <c r="C39" t="s">
        <v>20</v>
      </c>
      <c r="D39">
        <v>75</v>
      </c>
      <c r="E39" s="9" t="s">
        <v>4</v>
      </c>
      <c r="F39" s="10">
        <v>44941</v>
      </c>
      <c r="G39">
        <v>2158</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60</v>
      </c>
      <c r="C40" t="s">
        <v>17</v>
      </c>
      <c r="D40">
        <v>94</v>
      </c>
      <c r="E40" s="9" t="s">
        <v>4</v>
      </c>
      <c r="F40" s="10">
        <v>44942</v>
      </c>
      <c r="G40">
        <v>9960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61</v>
      </c>
      <c r="C41" t="s">
        <v>10</v>
      </c>
      <c r="D41">
        <v>90</v>
      </c>
      <c r="E41" s="9" t="s">
        <v>7</v>
      </c>
      <c r="F41" s="10">
        <v>44942</v>
      </c>
      <c r="G41">
        <v>10956</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62</v>
      </c>
      <c r="C42" t="s">
        <v>17</v>
      </c>
      <c r="D42">
        <v>81</v>
      </c>
      <c r="E42" s="9" t="s">
        <v>11</v>
      </c>
      <c r="F42" s="10">
        <v>44943</v>
      </c>
      <c r="G42">
        <v>7138</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63</v>
      </c>
      <c r="C43" t="s">
        <v>20</v>
      </c>
      <c r="D43">
        <v>106</v>
      </c>
      <c r="E43" s="9" t="s">
        <v>8</v>
      </c>
      <c r="F43" s="10">
        <v>44943</v>
      </c>
      <c r="G43">
        <v>8964</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64</v>
      </c>
      <c r="C44" t="s">
        <v>10</v>
      </c>
      <c r="D44">
        <v>74</v>
      </c>
      <c r="E44" s="9" t="s">
        <v>11</v>
      </c>
      <c r="F44" s="10">
        <v>44943</v>
      </c>
      <c r="G44">
        <v>7968</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65</v>
      </c>
      <c r="C45" t="s">
        <v>16</v>
      </c>
      <c r="D45">
        <v>105</v>
      </c>
      <c r="E45" s="9" t="s">
        <v>7</v>
      </c>
      <c r="F45" s="10">
        <v>44944</v>
      </c>
      <c r="G45">
        <v>6640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66</v>
      </c>
      <c r="C46" t="s">
        <v>20</v>
      </c>
      <c r="D46">
        <v>89</v>
      </c>
      <c r="E46" s="9" t="s">
        <v>8</v>
      </c>
      <c r="F46" s="10">
        <v>44944</v>
      </c>
      <c r="G46">
        <v>12865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67</v>
      </c>
      <c r="C47" t="s">
        <v>12</v>
      </c>
      <c r="D47">
        <v>132</v>
      </c>
      <c r="E47" s="9" t="s">
        <v>4</v>
      </c>
      <c r="F47" s="10">
        <v>44944</v>
      </c>
      <c r="G47">
        <v>13944</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68</v>
      </c>
      <c r="C48" t="s">
        <v>15</v>
      </c>
      <c r="D48">
        <v>105</v>
      </c>
      <c r="E48" s="9" t="s">
        <v>9</v>
      </c>
      <c r="F48" s="10">
        <v>44944</v>
      </c>
      <c r="G48">
        <v>4648</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69</v>
      </c>
      <c r="C49" t="s">
        <v>6</v>
      </c>
      <c r="D49">
        <v>13</v>
      </c>
      <c r="E49" s="9" t="s">
        <v>4</v>
      </c>
      <c r="F49" s="10">
        <v>44945</v>
      </c>
      <c r="G49">
        <v>2656</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70</v>
      </c>
      <c r="C50" t="s">
        <v>19</v>
      </c>
      <c r="D50">
        <v>131</v>
      </c>
      <c r="E50" s="9" t="s">
        <v>9</v>
      </c>
      <c r="F50" s="10">
        <v>44945</v>
      </c>
      <c r="G50">
        <v>6474</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71</v>
      </c>
      <c r="C51" t="s">
        <v>10</v>
      </c>
      <c r="D51">
        <v>104</v>
      </c>
      <c r="E51" s="9" t="s">
        <v>8</v>
      </c>
      <c r="F51" s="10">
        <v>44945</v>
      </c>
      <c r="G51">
        <v>7138</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72</v>
      </c>
      <c r="C52" t="s">
        <v>18</v>
      </c>
      <c r="D52">
        <v>90</v>
      </c>
      <c r="E52" s="9" t="s">
        <v>7</v>
      </c>
      <c r="F52" s="10">
        <v>44946</v>
      </c>
      <c r="G52">
        <v>5312</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73</v>
      </c>
      <c r="C53" t="s">
        <v>14</v>
      </c>
      <c r="D53">
        <v>37</v>
      </c>
      <c r="E53" s="9" t="s">
        <v>7</v>
      </c>
      <c r="F53" s="10">
        <v>44946</v>
      </c>
      <c r="G53">
        <v>7968</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74</v>
      </c>
      <c r="C54" t="s">
        <v>22</v>
      </c>
      <c r="D54">
        <v>149</v>
      </c>
      <c r="E54" s="9" t="s">
        <v>9</v>
      </c>
      <c r="F54" s="10">
        <v>44946</v>
      </c>
      <c r="G54">
        <v>5976</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75</v>
      </c>
      <c r="C55" t="s">
        <v>12</v>
      </c>
      <c r="D55">
        <v>100</v>
      </c>
      <c r="E55" s="9" t="s">
        <v>11</v>
      </c>
      <c r="F55" s="10">
        <v>44947</v>
      </c>
      <c r="G55">
        <v>11205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76</v>
      </c>
      <c r="C56" t="s">
        <v>12</v>
      </c>
      <c r="D56">
        <v>79</v>
      </c>
      <c r="E56" s="9" t="s">
        <v>4</v>
      </c>
      <c r="F56" s="10">
        <v>44947</v>
      </c>
      <c r="G56">
        <v>11620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77</v>
      </c>
      <c r="C57" t="s">
        <v>3</v>
      </c>
      <c r="D57">
        <v>157</v>
      </c>
      <c r="E57" s="9" t="s">
        <v>9</v>
      </c>
      <c r="F57" s="10">
        <v>44947</v>
      </c>
      <c r="G57">
        <v>5727</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78</v>
      </c>
      <c r="C58" t="s">
        <v>12</v>
      </c>
      <c r="D58">
        <v>59</v>
      </c>
      <c r="E58" s="9" t="s">
        <v>8</v>
      </c>
      <c r="F58" s="10">
        <v>44948</v>
      </c>
      <c r="G58">
        <v>11288</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79</v>
      </c>
      <c r="C59" t="s">
        <v>14</v>
      </c>
      <c r="D59">
        <v>83</v>
      </c>
      <c r="E59" s="9" t="s">
        <v>9</v>
      </c>
      <c r="F59" s="10">
        <v>44948</v>
      </c>
      <c r="G59">
        <v>2324</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80</v>
      </c>
      <c r="C60" t="s">
        <v>3</v>
      </c>
      <c r="D60">
        <v>58</v>
      </c>
      <c r="E60" s="9" t="s">
        <v>7</v>
      </c>
      <c r="F60" s="10">
        <v>44949</v>
      </c>
      <c r="G60">
        <v>11205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81</v>
      </c>
      <c r="C61" t="s">
        <v>17</v>
      </c>
      <c r="D61">
        <v>118</v>
      </c>
      <c r="E61" s="9" t="s">
        <v>7</v>
      </c>
      <c r="F61" s="10">
        <v>44949</v>
      </c>
      <c r="G61">
        <v>10458</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82</v>
      </c>
      <c r="C62" t="s">
        <v>6</v>
      </c>
      <c r="D62">
        <v>63</v>
      </c>
      <c r="E62" s="9" t="s">
        <v>8</v>
      </c>
      <c r="F62" s="10">
        <v>44949</v>
      </c>
      <c r="G62">
        <v>13280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83</v>
      </c>
      <c r="C63" t="s">
        <v>3</v>
      </c>
      <c r="D63">
        <v>95</v>
      </c>
      <c r="E63" s="9" t="s">
        <v>7</v>
      </c>
      <c r="F63" s="10">
        <v>44950</v>
      </c>
      <c r="G63">
        <v>3984</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84</v>
      </c>
      <c r="C64" t="s">
        <v>12</v>
      </c>
      <c r="D64">
        <v>74</v>
      </c>
      <c r="E64" s="9" t="s">
        <v>9</v>
      </c>
      <c r="F64" s="10">
        <v>44950</v>
      </c>
      <c r="G64">
        <v>5478</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85</v>
      </c>
      <c r="C65" t="s">
        <v>16</v>
      </c>
      <c r="D65">
        <v>130</v>
      </c>
      <c r="E65" s="9" t="s">
        <v>11</v>
      </c>
      <c r="F65" s="10">
        <v>44950</v>
      </c>
      <c r="G65">
        <v>10458</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86</v>
      </c>
      <c r="C66" t="s">
        <v>17</v>
      </c>
      <c r="D66">
        <v>110</v>
      </c>
      <c r="E66" s="9" t="s">
        <v>4</v>
      </c>
      <c r="F66" s="10">
        <v>44950</v>
      </c>
      <c r="G66">
        <v>7968</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87</v>
      </c>
      <c r="C67" t="s">
        <v>12</v>
      </c>
      <c r="D67">
        <v>71</v>
      </c>
      <c r="E67" s="9" t="s">
        <v>8</v>
      </c>
      <c r="F67" s="10">
        <v>44951</v>
      </c>
      <c r="G67">
        <v>7470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88</v>
      </c>
      <c r="C68" t="s">
        <v>15</v>
      </c>
      <c r="D68">
        <v>147</v>
      </c>
      <c r="E68" s="9" t="s">
        <v>11</v>
      </c>
      <c r="F68" s="10">
        <v>44951</v>
      </c>
      <c r="G68">
        <v>8715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89</v>
      </c>
      <c r="C69" t="s">
        <v>10</v>
      </c>
      <c r="D69">
        <v>69</v>
      </c>
      <c r="E69" s="9" t="s">
        <v>7</v>
      </c>
      <c r="F69" s="10">
        <v>44952</v>
      </c>
      <c r="G69">
        <v>3320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90</v>
      </c>
      <c r="C70" t="s">
        <v>17</v>
      </c>
      <c r="D70">
        <v>50</v>
      </c>
      <c r="E70" s="9" t="s">
        <v>8</v>
      </c>
      <c r="F70" s="10">
        <v>44952</v>
      </c>
      <c r="G70">
        <v>4980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91</v>
      </c>
      <c r="C71" t="s">
        <v>16</v>
      </c>
      <c r="D71">
        <v>124</v>
      </c>
      <c r="E71" s="9" t="s">
        <v>11</v>
      </c>
      <c r="F71" s="10">
        <v>44953</v>
      </c>
      <c r="G71">
        <v>17845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92</v>
      </c>
      <c r="C72" t="s">
        <v>21</v>
      </c>
      <c r="D72">
        <v>81</v>
      </c>
      <c r="E72" s="9" t="s">
        <v>9</v>
      </c>
      <c r="F72" s="10">
        <v>44953</v>
      </c>
      <c r="G72">
        <v>12948</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93</v>
      </c>
      <c r="C73" t="s">
        <v>5</v>
      </c>
      <c r="D73">
        <v>141</v>
      </c>
      <c r="E73" s="9" t="s">
        <v>4</v>
      </c>
      <c r="F73" s="10">
        <v>44953</v>
      </c>
      <c r="G73">
        <v>4482</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94</v>
      </c>
      <c r="C74" t="s">
        <v>5</v>
      </c>
      <c r="D74">
        <v>168</v>
      </c>
      <c r="E74" s="9" t="s">
        <v>4</v>
      </c>
      <c r="F74" s="10">
        <v>44954</v>
      </c>
      <c r="G74">
        <v>13280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95</v>
      </c>
      <c r="C75" t="s">
        <v>15</v>
      </c>
      <c r="D75">
        <v>101</v>
      </c>
      <c r="E75" s="9" t="s">
        <v>9</v>
      </c>
      <c r="F75" s="10">
        <v>44954</v>
      </c>
      <c r="G75">
        <v>6640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96</v>
      </c>
      <c r="C76" t="s">
        <v>12</v>
      </c>
      <c r="D76">
        <v>67</v>
      </c>
      <c r="E76" s="9" t="s">
        <v>9</v>
      </c>
      <c r="F76" s="10">
        <v>44954</v>
      </c>
      <c r="G76">
        <v>13944</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97</v>
      </c>
      <c r="C77" t="s">
        <v>3</v>
      </c>
      <c r="D77">
        <v>114</v>
      </c>
      <c r="E77" s="9" t="s">
        <v>4</v>
      </c>
      <c r="F77" s="10">
        <v>44956</v>
      </c>
      <c r="G77">
        <v>3486</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98</v>
      </c>
      <c r="C78" t="s">
        <v>21</v>
      </c>
      <c r="D78">
        <v>42</v>
      </c>
      <c r="E78" s="9" t="s">
        <v>9</v>
      </c>
      <c r="F78" s="10">
        <v>44956</v>
      </c>
      <c r="G78">
        <v>17015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99</v>
      </c>
      <c r="C79" t="s">
        <v>6</v>
      </c>
      <c r="D79">
        <v>69</v>
      </c>
      <c r="E79" s="9" t="s">
        <v>4</v>
      </c>
      <c r="F79" s="10">
        <v>44956</v>
      </c>
      <c r="G79">
        <v>8964</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100</v>
      </c>
      <c r="C80" t="s">
        <v>16</v>
      </c>
      <c r="D80">
        <v>145</v>
      </c>
      <c r="E80" s="9" t="s">
        <v>7</v>
      </c>
      <c r="F80" s="10">
        <v>44956</v>
      </c>
      <c r="G80">
        <v>6474</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101</v>
      </c>
      <c r="C81" t="s">
        <v>10</v>
      </c>
      <c r="D81">
        <v>43</v>
      </c>
      <c r="E81" s="9" t="s">
        <v>4</v>
      </c>
      <c r="F81" s="10">
        <v>44956</v>
      </c>
      <c r="G81">
        <v>1909</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102</v>
      </c>
      <c r="C82" t="s">
        <v>6</v>
      </c>
      <c r="D82">
        <v>62</v>
      </c>
      <c r="E82" s="9" t="s">
        <v>8</v>
      </c>
      <c r="F82" s="10">
        <v>44957</v>
      </c>
      <c r="G82">
        <v>8217</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103</v>
      </c>
      <c r="C83" t="s">
        <v>20</v>
      </c>
      <c r="D83">
        <v>79</v>
      </c>
      <c r="E83" s="9" t="s">
        <v>4</v>
      </c>
      <c r="F83" s="10">
        <v>44958</v>
      </c>
      <c r="G83">
        <v>12284</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104</v>
      </c>
      <c r="C84" t="s">
        <v>16</v>
      </c>
      <c r="D84">
        <v>45</v>
      </c>
      <c r="E84" s="9" t="s">
        <v>11</v>
      </c>
      <c r="F84" s="10">
        <v>44958</v>
      </c>
      <c r="G84">
        <v>2822</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105</v>
      </c>
      <c r="C85" t="s">
        <v>6</v>
      </c>
      <c r="D85">
        <v>137</v>
      </c>
      <c r="E85" s="9" t="s">
        <v>4</v>
      </c>
      <c r="F85" s="10">
        <v>44958</v>
      </c>
      <c r="G85">
        <v>7138</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106</v>
      </c>
      <c r="C86" t="s">
        <v>3</v>
      </c>
      <c r="D86">
        <v>109</v>
      </c>
      <c r="E86" s="9" t="s">
        <v>8</v>
      </c>
      <c r="F86" s="10">
        <v>44958</v>
      </c>
      <c r="G86">
        <v>8715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107</v>
      </c>
      <c r="C87" t="s">
        <v>10</v>
      </c>
      <c r="D87">
        <v>78</v>
      </c>
      <c r="E87" s="9" t="s">
        <v>8</v>
      </c>
      <c r="F87" s="10">
        <v>44958</v>
      </c>
      <c r="G87">
        <v>5146</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108</v>
      </c>
      <c r="C88" t="s">
        <v>6</v>
      </c>
      <c r="D88">
        <v>137</v>
      </c>
      <c r="E88" s="9" t="s">
        <v>11</v>
      </c>
      <c r="F88" s="10">
        <v>44958</v>
      </c>
      <c r="G88">
        <v>7470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109</v>
      </c>
      <c r="C89" t="s">
        <v>19</v>
      </c>
      <c r="D89">
        <v>99</v>
      </c>
      <c r="E89" s="9" t="s">
        <v>8</v>
      </c>
      <c r="F89" s="10">
        <v>44959</v>
      </c>
      <c r="G89">
        <v>9296</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110</v>
      </c>
      <c r="C90" t="s">
        <v>17</v>
      </c>
      <c r="D90">
        <v>100</v>
      </c>
      <c r="E90" s="9" t="s">
        <v>8</v>
      </c>
      <c r="F90" s="10">
        <v>44959</v>
      </c>
      <c r="G90">
        <v>11205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111</v>
      </c>
      <c r="C91" t="s">
        <v>10</v>
      </c>
      <c r="D91">
        <v>47</v>
      </c>
      <c r="E91" s="9" t="s">
        <v>7</v>
      </c>
      <c r="F91" s="10">
        <v>44959</v>
      </c>
      <c r="G91">
        <v>2822</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112</v>
      </c>
      <c r="C92" t="s">
        <v>3</v>
      </c>
      <c r="D92">
        <v>87</v>
      </c>
      <c r="E92" s="9" t="s">
        <v>9</v>
      </c>
      <c r="F92" s="10">
        <v>44959</v>
      </c>
      <c r="G92">
        <v>12865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113</v>
      </c>
      <c r="C93" t="s">
        <v>19</v>
      </c>
      <c r="D93">
        <v>143</v>
      </c>
      <c r="E93" s="9" t="s">
        <v>9</v>
      </c>
      <c r="F93" s="10">
        <v>44961</v>
      </c>
      <c r="G93">
        <v>10292</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114</v>
      </c>
      <c r="C94" t="s">
        <v>17</v>
      </c>
      <c r="D94">
        <v>84</v>
      </c>
      <c r="E94" s="9" t="s">
        <v>8</v>
      </c>
      <c r="F94" s="10">
        <v>44961</v>
      </c>
      <c r="G94">
        <v>16185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115</v>
      </c>
      <c r="C95" t="s">
        <v>15</v>
      </c>
      <c r="D95">
        <v>55</v>
      </c>
      <c r="E95" s="9" t="s">
        <v>9</v>
      </c>
      <c r="F95" s="10">
        <v>44962</v>
      </c>
      <c r="G95">
        <v>6474</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116</v>
      </c>
      <c r="C96" t="s">
        <v>13</v>
      </c>
      <c r="D96">
        <v>135</v>
      </c>
      <c r="E96" s="9" t="s">
        <v>11</v>
      </c>
      <c r="F96" s="10">
        <v>44964</v>
      </c>
      <c r="G96">
        <v>2905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117</v>
      </c>
      <c r="C97" t="s">
        <v>14</v>
      </c>
      <c r="D97">
        <v>152</v>
      </c>
      <c r="E97" s="9" t="s">
        <v>7</v>
      </c>
      <c r="F97" s="10">
        <v>44964</v>
      </c>
      <c r="G97">
        <v>10209</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118</v>
      </c>
      <c r="C98" t="s">
        <v>21</v>
      </c>
      <c r="D98">
        <v>132</v>
      </c>
      <c r="E98" s="9" t="s">
        <v>7</v>
      </c>
      <c r="F98" s="10">
        <v>44964</v>
      </c>
      <c r="G98">
        <v>3569</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119</v>
      </c>
      <c r="C99" t="s">
        <v>5</v>
      </c>
      <c r="D99">
        <v>60</v>
      </c>
      <c r="E99" s="9" t="s">
        <v>8</v>
      </c>
      <c r="F99" s="10">
        <v>44965</v>
      </c>
      <c r="G99">
        <v>5727</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120</v>
      </c>
      <c r="C100" t="s">
        <v>14</v>
      </c>
      <c r="D100">
        <v>95</v>
      </c>
      <c r="E100" s="9" t="s">
        <v>7</v>
      </c>
      <c r="F100" s="10">
        <v>44965</v>
      </c>
      <c r="G100">
        <v>10790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121</v>
      </c>
      <c r="C101" t="s">
        <v>18</v>
      </c>
      <c r="D101">
        <v>96</v>
      </c>
      <c r="E101" s="9" t="s">
        <v>4</v>
      </c>
      <c r="F101" s="10">
        <v>44965</v>
      </c>
      <c r="G101">
        <v>9960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122</v>
      </c>
      <c r="C102" t="s">
        <v>15</v>
      </c>
      <c r="D102">
        <v>45</v>
      </c>
      <c r="E102" s="9" t="s">
        <v>8</v>
      </c>
      <c r="F102" s="10">
        <v>44966</v>
      </c>
      <c r="G102">
        <v>6972</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123</v>
      </c>
      <c r="C103" t="s">
        <v>18</v>
      </c>
      <c r="D103">
        <v>132</v>
      </c>
      <c r="E103" s="9" t="s">
        <v>4</v>
      </c>
      <c r="F103" s="10">
        <v>44967</v>
      </c>
      <c r="G103">
        <v>9296</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124</v>
      </c>
      <c r="C104" t="s">
        <v>12</v>
      </c>
      <c r="D104">
        <v>95</v>
      </c>
      <c r="E104" s="9" t="s">
        <v>8</v>
      </c>
      <c r="F104" s="10">
        <v>44967</v>
      </c>
      <c r="G104">
        <v>5478</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125</v>
      </c>
      <c r="C105" t="s">
        <v>14</v>
      </c>
      <c r="D105">
        <v>131</v>
      </c>
      <c r="E105" s="9" t="s">
        <v>9</v>
      </c>
      <c r="F105" s="10">
        <v>44967</v>
      </c>
      <c r="G105">
        <v>14276</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126</v>
      </c>
      <c r="C106" t="s">
        <v>20</v>
      </c>
      <c r="D106">
        <v>67</v>
      </c>
      <c r="E106" s="9" t="s">
        <v>11</v>
      </c>
      <c r="F106" s="10">
        <v>44968</v>
      </c>
      <c r="G106">
        <v>1992</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127</v>
      </c>
      <c r="C107" t="s">
        <v>19</v>
      </c>
      <c r="D107">
        <v>111</v>
      </c>
      <c r="E107" s="9" t="s">
        <v>9</v>
      </c>
      <c r="F107" s="10">
        <v>44969</v>
      </c>
      <c r="G107">
        <v>3569</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128</v>
      </c>
      <c r="C108" t="s">
        <v>21</v>
      </c>
      <c r="D108">
        <v>78</v>
      </c>
      <c r="E108" s="9" t="s">
        <v>7</v>
      </c>
      <c r="F108" s="10">
        <v>44969</v>
      </c>
      <c r="G108">
        <v>1909</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129</v>
      </c>
      <c r="C109" t="s">
        <v>22</v>
      </c>
      <c r="D109">
        <v>28</v>
      </c>
      <c r="E109" s="9" t="s">
        <v>4</v>
      </c>
      <c r="F109" s="10">
        <v>44969</v>
      </c>
      <c r="G109">
        <v>6142</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130</v>
      </c>
      <c r="C110" t="s">
        <v>10</v>
      </c>
      <c r="D110">
        <v>127</v>
      </c>
      <c r="E110" s="9" t="s">
        <v>11</v>
      </c>
      <c r="F110" s="10">
        <v>44970</v>
      </c>
      <c r="G110">
        <v>13695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131</v>
      </c>
      <c r="C111" t="s">
        <v>17</v>
      </c>
      <c r="D111">
        <v>137</v>
      </c>
      <c r="E111" s="9" t="s">
        <v>9</v>
      </c>
      <c r="F111" s="10">
        <v>44970</v>
      </c>
      <c r="G111">
        <v>2822</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132</v>
      </c>
      <c r="C112" t="s">
        <v>10</v>
      </c>
      <c r="D112">
        <v>76</v>
      </c>
      <c r="E112" s="9" t="s">
        <v>4</v>
      </c>
      <c r="F112" s="10">
        <v>44970</v>
      </c>
      <c r="G112">
        <v>5312</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133</v>
      </c>
      <c r="C113" t="s">
        <v>21</v>
      </c>
      <c r="D113">
        <v>80</v>
      </c>
      <c r="E113" s="9" t="s">
        <v>11</v>
      </c>
      <c r="F113" s="10">
        <v>44971</v>
      </c>
      <c r="G113">
        <v>12865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134</v>
      </c>
      <c r="C114" t="s">
        <v>10</v>
      </c>
      <c r="D114">
        <v>95</v>
      </c>
      <c r="E114" s="9" t="s">
        <v>7</v>
      </c>
      <c r="F114" s="10">
        <v>44972</v>
      </c>
      <c r="G114">
        <v>9960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135</v>
      </c>
      <c r="C115" t="s">
        <v>5</v>
      </c>
      <c r="D115">
        <v>30</v>
      </c>
      <c r="E115" s="9" t="s">
        <v>4</v>
      </c>
      <c r="F115" s="10">
        <v>44972</v>
      </c>
      <c r="G115">
        <v>8715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136</v>
      </c>
      <c r="C116" t="s">
        <v>6</v>
      </c>
      <c r="D116">
        <v>19</v>
      </c>
      <c r="E116" s="9" t="s">
        <v>9</v>
      </c>
      <c r="F116" s="10">
        <v>44972</v>
      </c>
      <c r="G116">
        <v>2324</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137</v>
      </c>
      <c r="C117" t="s">
        <v>16</v>
      </c>
      <c r="D117">
        <v>38</v>
      </c>
      <c r="E117" s="9" t="s">
        <v>11</v>
      </c>
      <c r="F117" s="10">
        <v>44972</v>
      </c>
      <c r="G117">
        <v>8300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138</v>
      </c>
      <c r="C118" t="s">
        <v>12</v>
      </c>
      <c r="D118">
        <v>55</v>
      </c>
      <c r="E118" s="9" t="s">
        <v>9</v>
      </c>
      <c r="F118" s="10">
        <v>44972</v>
      </c>
      <c r="G118">
        <v>1909</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139</v>
      </c>
      <c r="C119" t="s">
        <v>20</v>
      </c>
      <c r="D119">
        <v>27</v>
      </c>
      <c r="E119" s="9" t="s">
        <v>4</v>
      </c>
      <c r="F119" s="10">
        <v>44973</v>
      </c>
      <c r="G119">
        <v>5810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140</v>
      </c>
      <c r="C120" t="s">
        <v>20</v>
      </c>
      <c r="D120">
        <v>32</v>
      </c>
      <c r="E120" s="9" t="s">
        <v>4</v>
      </c>
      <c r="F120" s="10">
        <v>44973</v>
      </c>
      <c r="G120">
        <v>3071</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141</v>
      </c>
      <c r="C121" t="s">
        <v>22</v>
      </c>
      <c r="D121">
        <v>116</v>
      </c>
      <c r="E121" s="9" t="s">
        <v>8</v>
      </c>
      <c r="F121" s="10">
        <v>44973</v>
      </c>
      <c r="G121">
        <v>11620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142</v>
      </c>
      <c r="C122" t="s">
        <v>18</v>
      </c>
      <c r="D122">
        <v>99</v>
      </c>
      <c r="E122" s="9" t="s">
        <v>7</v>
      </c>
      <c r="F122" s="10">
        <v>44973</v>
      </c>
      <c r="G122">
        <v>6474</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143</v>
      </c>
      <c r="C123" t="s">
        <v>10</v>
      </c>
      <c r="D123">
        <v>75</v>
      </c>
      <c r="E123" s="9" t="s">
        <v>4</v>
      </c>
      <c r="F123" s="10">
        <v>44974</v>
      </c>
      <c r="G123">
        <v>1743</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144</v>
      </c>
      <c r="C124" t="s">
        <v>21</v>
      </c>
      <c r="D124">
        <v>57</v>
      </c>
      <c r="E124" s="9" t="s">
        <v>8</v>
      </c>
      <c r="F124" s="10">
        <v>44974</v>
      </c>
      <c r="G124">
        <v>7304</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145</v>
      </c>
      <c r="C125" t="s">
        <v>13</v>
      </c>
      <c r="D125">
        <v>155</v>
      </c>
      <c r="E125" s="9" t="s">
        <v>8</v>
      </c>
      <c r="F125" s="10">
        <v>44975</v>
      </c>
      <c r="G125">
        <v>14940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146</v>
      </c>
      <c r="C126" t="s">
        <v>18</v>
      </c>
      <c r="D126">
        <v>68</v>
      </c>
      <c r="E126" s="9" t="s">
        <v>7</v>
      </c>
      <c r="F126" s="10">
        <v>44975</v>
      </c>
      <c r="G126">
        <v>1826</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147</v>
      </c>
      <c r="C127" t="s">
        <v>16</v>
      </c>
      <c r="D127">
        <v>95</v>
      </c>
      <c r="E127" s="9" t="s">
        <v>7</v>
      </c>
      <c r="F127" s="10">
        <v>44975</v>
      </c>
      <c r="G127">
        <v>4316</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148</v>
      </c>
      <c r="C128" t="s">
        <v>17</v>
      </c>
      <c r="D128">
        <v>65</v>
      </c>
      <c r="E128" s="9" t="s">
        <v>8</v>
      </c>
      <c r="F128" s="10">
        <v>44976</v>
      </c>
      <c r="G128">
        <v>6640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149</v>
      </c>
      <c r="C129" t="s">
        <v>6</v>
      </c>
      <c r="D129">
        <v>114</v>
      </c>
      <c r="E129" s="9" t="s">
        <v>9</v>
      </c>
      <c r="F129" s="10">
        <v>44976</v>
      </c>
      <c r="G129">
        <v>4482</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150</v>
      </c>
      <c r="C130" t="s">
        <v>10</v>
      </c>
      <c r="D130">
        <v>155</v>
      </c>
      <c r="E130" s="9" t="s">
        <v>9</v>
      </c>
      <c r="F130" s="10">
        <v>44977</v>
      </c>
      <c r="G130">
        <v>6640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151</v>
      </c>
      <c r="C131" t="s">
        <v>17</v>
      </c>
      <c r="D131">
        <v>114</v>
      </c>
      <c r="E131" s="9" t="s">
        <v>8</v>
      </c>
      <c r="F131" s="10">
        <v>44978</v>
      </c>
      <c r="G131">
        <v>9960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152</v>
      </c>
      <c r="C132" t="s">
        <v>13</v>
      </c>
      <c r="D132">
        <v>130</v>
      </c>
      <c r="E132" s="9" t="s">
        <v>11</v>
      </c>
      <c r="F132" s="10">
        <v>44978</v>
      </c>
      <c r="G132">
        <v>12450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153</v>
      </c>
      <c r="C133" t="s">
        <v>10</v>
      </c>
      <c r="D133">
        <v>89</v>
      </c>
      <c r="E133" s="9" t="s">
        <v>8</v>
      </c>
      <c r="F133" s="10">
        <v>44978</v>
      </c>
      <c r="G133">
        <v>7470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154</v>
      </c>
      <c r="C134" t="s">
        <v>15</v>
      </c>
      <c r="D134">
        <v>61</v>
      </c>
      <c r="E134" s="9" t="s">
        <v>4</v>
      </c>
      <c r="F134" s="10">
        <v>44979</v>
      </c>
      <c r="G134">
        <v>11620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155</v>
      </c>
      <c r="C135" t="s">
        <v>16</v>
      </c>
      <c r="D135">
        <v>154</v>
      </c>
      <c r="E135" s="9" t="s">
        <v>9</v>
      </c>
      <c r="F135" s="10">
        <v>44979</v>
      </c>
      <c r="G135">
        <v>1826</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156</v>
      </c>
      <c r="C136" t="s">
        <v>17</v>
      </c>
      <c r="D136">
        <v>115</v>
      </c>
      <c r="E136" s="9" t="s">
        <v>11</v>
      </c>
      <c r="F136" s="10">
        <v>44980</v>
      </c>
      <c r="G136">
        <v>12450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157</v>
      </c>
      <c r="C137" t="s">
        <v>3</v>
      </c>
      <c r="D137">
        <v>138</v>
      </c>
      <c r="E137" s="9" t="s">
        <v>7</v>
      </c>
      <c r="F137" s="10">
        <v>44981</v>
      </c>
      <c r="G137">
        <v>2905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158</v>
      </c>
      <c r="C138" t="s">
        <v>19</v>
      </c>
      <c r="D138">
        <v>153</v>
      </c>
      <c r="E138" s="9" t="s">
        <v>8</v>
      </c>
      <c r="F138" s="10">
        <v>44981</v>
      </c>
      <c r="G138">
        <v>16600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159</v>
      </c>
      <c r="C139" t="s">
        <v>17</v>
      </c>
      <c r="D139">
        <v>61</v>
      </c>
      <c r="E139" s="9" t="s">
        <v>4</v>
      </c>
      <c r="F139" s="10">
        <v>44982</v>
      </c>
      <c r="G139">
        <v>12450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160</v>
      </c>
      <c r="C140" t="s">
        <v>20</v>
      </c>
      <c r="D140">
        <v>62</v>
      </c>
      <c r="E140" s="9" t="s">
        <v>8</v>
      </c>
      <c r="F140" s="10">
        <v>44982</v>
      </c>
      <c r="G140">
        <v>1743</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161</v>
      </c>
      <c r="C141" t="s">
        <v>15</v>
      </c>
      <c r="D141">
        <v>151</v>
      </c>
      <c r="E141" s="9" t="s">
        <v>11</v>
      </c>
      <c r="F141" s="10">
        <v>44983</v>
      </c>
      <c r="G141">
        <v>3818</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162</v>
      </c>
      <c r="C142" t="s">
        <v>14</v>
      </c>
      <c r="D142">
        <v>102</v>
      </c>
      <c r="E142" s="9" t="s">
        <v>9</v>
      </c>
      <c r="F142" s="10">
        <v>44983</v>
      </c>
      <c r="G142">
        <v>13695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163</v>
      </c>
      <c r="C143" t="s">
        <v>5</v>
      </c>
      <c r="D143">
        <v>64</v>
      </c>
      <c r="E143" s="9" t="s">
        <v>8</v>
      </c>
      <c r="F143" s="10">
        <v>44983</v>
      </c>
      <c r="G143">
        <v>6972</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164</v>
      </c>
      <c r="C144" t="s">
        <v>10</v>
      </c>
      <c r="D144">
        <v>6</v>
      </c>
      <c r="E144" s="9" t="s">
        <v>9</v>
      </c>
      <c r="F144" s="10">
        <v>44984</v>
      </c>
      <c r="G144">
        <v>8466</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165</v>
      </c>
      <c r="C145" t="s">
        <v>5</v>
      </c>
      <c r="D145">
        <v>129</v>
      </c>
      <c r="E145" s="9" t="s">
        <v>8</v>
      </c>
      <c r="F145" s="10">
        <v>44984</v>
      </c>
      <c r="G145">
        <v>14940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166</v>
      </c>
      <c r="C146" t="s">
        <v>20</v>
      </c>
      <c r="D146">
        <v>42</v>
      </c>
      <c r="E146" s="9" t="s">
        <v>11</v>
      </c>
      <c r="F146" s="10">
        <v>44985</v>
      </c>
      <c r="G146">
        <v>9213</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167</v>
      </c>
      <c r="C147" t="s">
        <v>20</v>
      </c>
      <c r="D147">
        <v>71</v>
      </c>
      <c r="E147" s="9" t="s">
        <v>4</v>
      </c>
      <c r="F147" s="10">
        <v>44985</v>
      </c>
      <c r="G147">
        <v>8632</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168</v>
      </c>
      <c r="C148" t="s">
        <v>21</v>
      </c>
      <c r="D148">
        <v>53</v>
      </c>
      <c r="E148" s="9" t="s">
        <v>9</v>
      </c>
      <c r="F148" s="10">
        <v>44985</v>
      </c>
      <c r="G148">
        <v>6640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169</v>
      </c>
      <c r="C149" t="s">
        <v>6</v>
      </c>
      <c r="D149">
        <v>155</v>
      </c>
      <c r="E149" s="9" t="s">
        <v>4</v>
      </c>
      <c r="F149" s="10">
        <v>44986</v>
      </c>
      <c r="G149">
        <v>10956</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170</v>
      </c>
      <c r="C150" t="s">
        <v>6</v>
      </c>
      <c r="D150">
        <v>90</v>
      </c>
      <c r="E150" s="9" t="s">
        <v>11</v>
      </c>
      <c r="F150" s="10">
        <v>44986</v>
      </c>
      <c r="G150">
        <v>14110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171</v>
      </c>
      <c r="C151" t="s">
        <v>5</v>
      </c>
      <c r="D151">
        <v>166</v>
      </c>
      <c r="E151" s="9" t="s">
        <v>7</v>
      </c>
      <c r="F151" s="10">
        <v>44986</v>
      </c>
      <c r="G151">
        <v>2988</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172</v>
      </c>
      <c r="C152" t="s">
        <v>22</v>
      </c>
      <c r="D152">
        <v>89</v>
      </c>
      <c r="E152" s="9" t="s">
        <v>4</v>
      </c>
      <c r="F152" s="10">
        <v>44986</v>
      </c>
      <c r="G152">
        <v>10458</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173</v>
      </c>
      <c r="C153" t="s">
        <v>17</v>
      </c>
      <c r="D153">
        <v>152</v>
      </c>
      <c r="E153" s="9" t="s">
        <v>9</v>
      </c>
      <c r="F153" s="10">
        <v>44986</v>
      </c>
      <c r="G153">
        <v>17845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174</v>
      </c>
      <c r="C154" t="s">
        <v>22</v>
      </c>
      <c r="D154">
        <v>137</v>
      </c>
      <c r="E154" s="9" t="s">
        <v>11</v>
      </c>
      <c r="F154" s="10">
        <v>44986</v>
      </c>
      <c r="G154">
        <v>9462</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175</v>
      </c>
      <c r="C155" t="s">
        <v>22</v>
      </c>
      <c r="D155">
        <v>43</v>
      </c>
      <c r="E155" s="9" t="s">
        <v>11</v>
      </c>
      <c r="F155" s="10">
        <v>44986</v>
      </c>
      <c r="G155">
        <v>8217</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176</v>
      </c>
      <c r="C156" t="s">
        <v>16</v>
      </c>
      <c r="D156">
        <v>114</v>
      </c>
      <c r="E156" s="9" t="s">
        <v>11</v>
      </c>
      <c r="F156" s="10">
        <v>44987</v>
      </c>
      <c r="G156">
        <v>1909</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177</v>
      </c>
      <c r="C157" t="s">
        <v>19</v>
      </c>
      <c r="D157">
        <v>103</v>
      </c>
      <c r="E157" s="9" t="s">
        <v>4</v>
      </c>
      <c r="F157" s="10">
        <v>44987</v>
      </c>
      <c r="G157">
        <v>6225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178</v>
      </c>
      <c r="C158" t="s">
        <v>22</v>
      </c>
      <c r="D158">
        <v>98</v>
      </c>
      <c r="E158" s="9" t="s">
        <v>9</v>
      </c>
      <c r="F158" s="10">
        <v>44987</v>
      </c>
      <c r="G158">
        <v>8300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179</v>
      </c>
      <c r="C159" t="s">
        <v>5</v>
      </c>
      <c r="D159">
        <v>106</v>
      </c>
      <c r="E159" s="9" t="s">
        <v>7</v>
      </c>
      <c r="F159" s="10">
        <v>44987</v>
      </c>
      <c r="G159">
        <v>8964</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180</v>
      </c>
      <c r="C160" t="s">
        <v>10</v>
      </c>
      <c r="D160">
        <v>96</v>
      </c>
      <c r="E160" s="9" t="s">
        <v>7</v>
      </c>
      <c r="F160" s="10">
        <v>44987</v>
      </c>
      <c r="G160">
        <v>8964</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181</v>
      </c>
      <c r="C161" t="s">
        <v>19</v>
      </c>
      <c r="D161">
        <v>70</v>
      </c>
      <c r="E161" s="9" t="s">
        <v>7</v>
      </c>
      <c r="F161" s="10">
        <v>44987</v>
      </c>
      <c r="G161">
        <v>2324</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182</v>
      </c>
      <c r="C162" t="s">
        <v>20</v>
      </c>
      <c r="D162">
        <v>86</v>
      </c>
      <c r="E162" s="9" t="s">
        <v>8</v>
      </c>
      <c r="F162" s="10">
        <v>44988</v>
      </c>
      <c r="G162">
        <v>5810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183</v>
      </c>
      <c r="C163" t="s">
        <v>21</v>
      </c>
      <c r="D163">
        <v>64</v>
      </c>
      <c r="E163" s="9" t="s">
        <v>8</v>
      </c>
      <c r="F163" s="10">
        <v>44988</v>
      </c>
      <c r="G163">
        <v>14276</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184</v>
      </c>
      <c r="C164" t="s">
        <v>10</v>
      </c>
      <c r="D164">
        <v>113</v>
      </c>
      <c r="E164" s="9" t="s">
        <v>9</v>
      </c>
      <c r="F164" s="10">
        <v>44988</v>
      </c>
      <c r="G164">
        <v>10209</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185</v>
      </c>
      <c r="C165" t="s">
        <v>10</v>
      </c>
      <c r="D165">
        <v>21</v>
      </c>
      <c r="E165" s="9" t="s">
        <v>7</v>
      </c>
      <c r="F165" s="10">
        <v>44988</v>
      </c>
      <c r="G165">
        <v>7719</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186</v>
      </c>
      <c r="C166" t="s">
        <v>14</v>
      </c>
      <c r="D166">
        <v>107</v>
      </c>
      <c r="E166" s="9" t="s">
        <v>8</v>
      </c>
      <c r="F166" s="10">
        <v>44988</v>
      </c>
      <c r="G166">
        <v>5478</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187</v>
      </c>
      <c r="C167" t="s">
        <v>14</v>
      </c>
      <c r="D167">
        <v>131</v>
      </c>
      <c r="E167" s="9" t="s">
        <v>7</v>
      </c>
      <c r="F167" s="10">
        <v>44988</v>
      </c>
      <c r="G167">
        <v>3237</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188</v>
      </c>
      <c r="C168" t="s">
        <v>18</v>
      </c>
      <c r="D168">
        <v>11</v>
      </c>
      <c r="E168" s="9" t="s">
        <v>4</v>
      </c>
      <c r="F168" s="10">
        <v>44988</v>
      </c>
      <c r="G168">
        <v>2075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189</v>
      </c>
      <c r="C169" t="s">
        <v>15</v>
      </c>
      <c r="D169">
        <v>86</v>
      </c>
      <c r="E169" s="9" t="s">
        <v>9</v>
      </c>
      <c r="F169" s="10">
        <v>44988</v>
      </c>
      <c r="G169">
        <v>5644</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190</v>
      </c>
      <c r="C170" t="s">
        <v>21</v>
      </c>
      <c r="D170">
        <v>28</v>
      </c>
      <c r="E170" s="9" t="s">
        <v>4</v>
      </c>
      <c r="F170" s="10">
        <v>44988</v>
      </c>
      <c r="G170">
        <v>6972</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191</v>
      </c>
      <c r="C171" t="s">
        <v>6</v>
      </c>
      <c r="D171">
        <v>139</v>
      </c>
      <c r="E171" s="9" t="s">
        <v>7</v>
      </c>
      <c r="F171" s="10">
        <v>44989</v>
      </c>
      <c r="G171">
        <v>7304</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192</v>
      </c>
      <c r="C172" t="s">
        <v>5</v>
      </c>
      <c r="D172">
        <v>82</v>
      </c>
      <c r="E172" s="9" t="s">
        <v>9</v>
      </c>
      <c r="F172" s="10">
        <v>44989</v>
      </c>
      <c r="G172">
        <v>7719</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193</v>
      </c>
      <c r="C173" t="s">
        <v>10</v>
      </c>
      <c r="D173">
        <v>101</v>
      </c>
      <c r="E173" s="9" t="s">
        <v>4</v>
      </c>
      <c r="F173" s="10">
        <v>44989</v>
      </c>
      <c r="G173">
        <v>10624</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194</v>
      </c>
      <c r="C174" t="s">
        <v>21</v>
      </c>
      <c r="D174">
        <v>75</v>
      </c>
      <c r="E174" s="9" t="s">
        <v>11</v>
      </c>
      <c r="F174" s="10">
        <v>44989</v>
      </c>
      <c r="G174">
        <v>3320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195</v>
      </c>
      <c r="C175" t="s">
        <v>16</v>
      </c>
      <c r="D175">
        <v>40</v>
      </c>
      <c r="E175" s="9" t="s">
        <v>4</v>
      </c>
      <c r="F175" s="10">
        <v>44990</v>
      </c>
      <c r="G175">
        <v>7636</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196</v>
      </c>
      <c r="C176" t="s">
        <v>22</v>
      </c>
      <c r="D176">
        <v>86</v>
      </c>
      <c r="E176" s="9" t="s">
        <v>7</v>
      </c>
      <c r="F176" s="10">
        <v>44990</v>
      </c>
      <c r="G176">
        <v>2241</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197</v>
      </c>
      <c r="C177" t="s">
        <v>13</v>
      </c>
      <c r="D177">
        <v>131</v>
      </c>
      <c r="E177" s="9" t="s">
        <v>8</v>
      </c>
      <c r="F177" s="10">
        <v>44990</v>
      </c>
      <c r="G177">
        <v>11620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198</v>
      </c>
      <c r="C178" t="s">
        <v>14</v>
      </c>
      <c r="D178">
        <v>67</v>
      </c>
      <c r="E178" s="9" t="s">
        <v>9</v>
      </c>
      <c r="F178" s="10">
        <v>44990</v>
      </c>
      <c r="G178">
        <v>3320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199</v>
      </c>
      <c r="C179" t="s">
        <v>3</v>
      </c>
      <c r="D179">
        <v>71</v>
      </c>
      <c r="E179" s="9" t="s">
        <v>4</v>
      </c>
      <c r="F179" s="10">
        <v>44990</v>
      </c>
      <c r="G179">
        <v>8466</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200</v>
      </c>
      <c r="C180" t="s">
        <v>13</v>
      </c>
      <c r="D180">
        <v>113</v>
      </c>
      <c r="E180" s="9" t="s">
        <v>8</v>
      </c>
      <c r="F180" s="10">
        <v>44990</v>
      </c>
      <c r="G180">
        <v>3486</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201</v>
      </c>
      <c r="C181" t="s">
        <v>5</v>
      </c>
      <c r="D181">
        <v>53</v>
      </c>
      <c r="E181" s="9" t="s">
        <v>7</v>
      </c>
      <c r="F181" s="10">
        <v>44991</v>
      </c>
      <c r="G181">
        <v>17430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202</v>
      </c>
      <c r="C182" t="s">
        <v>13</v>
      </c>
      <c r="D182">
        <v>153</v>
      </c>
      <c r="E182" s="9" t="s">
        <v>9</v>
      </c>
      <c r="F182" s="10">
        <v>44991</v>
      </c>
      <c r="G182">
        <v>2822</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203</v>
      </c>
      <c r="C183" t="s">
        <v>14</v>
      </c>
      <c r="D183">
        <v>73</v>
      </c>
      <c r="E183" s="9" t="s">
        <v>11</v>
      </c>
      <c r="F183" s="10">
        <v>44991</v>
      </c>
      <c r="G183">
        <v>17845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204</v>
      </c>
      <c r="C184" t="s">
        <v>20</v>
      </c>
      <c r="D184">
        <v>62</v>
      </c>
      <c r="E184" s="9" t="s">
        <v>11</v>
      </c>
      <c r="F184" s="10">
        <v>44991</v>
      </c>
      <c r="G184">
        <v>2656</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205</v>
      </c>
      <c r="C185" t="s">
        <v>6</v>
      </c>
      <c r="D185">
        <v>115</v>
      </c>
      <c r="E185" s="9" t="s">
        <v>7</v>
      </c>
      <c r="F185" s="10">
        <v>44992</v>
      </c>
      <c r="G185">
        <v>3984</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206</v>
      </c>
      <c r="C186" t="s">
        <v>13</v>
      </c>
      <c r="D186">
        <v>69</v>
      </c>
      <c r="E186" s="9" t="s">
        <v>7</v>
      </c>
      <c r="F186" s="10">
        <v>44992</v>
      </c>
      <c r="G186">
        <v>10956</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207</v>
      </c>
      <c r="C187" t="s">
        <v>22</v>
      </c>
      <c r="D187">
        <v>103</v>
      </c>
      <c r="E187" s="9" t="s">
        <v>8</v>
      </c>
      <c r="F187" s="10">
        <v>44992</v>
      </c>
      <c r="G187">
        <v>14276</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208</v>
      </c>
      <c r="C188" t="s">
        <v>22</v>
      </c>
      <c r="D188">
        <v>75</v>
      </c>
      <c r="E188" s="9" t="s">
        <v>8</v>
      </c>
      <c r="F188" s="10">
        <v>44992</v>
      </c>
      <c r="G188">
        <v>9213</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209</v>
      </c>
      <c r="C189" t="s">
        <v>12</v>
      </c>
      <c r="D189">
        <v>92</v>
      </c>
      <c r="E189" s="9" t="s">
        <v>8</v>
      </c>
      <c r="F189" s="10">
        <v>44992</v>
      </c>
      <c r="G189">
        <v>4814</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210</v>
      </c>
      <c r="C190" t="s">
        <v>12</v>
      </c>
      <c r="D190">
        <v>41</v>
      </c>
      <c r="E190" s="9" t="s">
        <v>11</v>
      </c>
      <c r="F190" s="10">
        <v>44992</v>
      </c>
      <c r="G190">
        <v>5644</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211</v>
      </c>
      <c r="C191" t="s">
        <v>22</v>
      </c>
      <c r="D191">
        <v>134</v>
      </c>
      <c r="E191" s="9" t="s">
        <v>9</v>
      </c>
      <c r="F191" s="10">
        <v>44992</v>
      </c>
      <c r="G191">
        <v>13280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212</v>
      </c>
      <c r="C192" t="s">
        <v>15</v>
      </c>
      <c r="D192">
        <v>80</v>
      </c>
      <c r="E192" s="9" t="s">
        <v>4</v>
      </c>
      <c r="F192" s="10">
        <v>44992</v>
      </c>
      <c r="G192">
        <v>3735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213</v>
      </c>
      <c r="C193" t="s">
        <v>3</v>
      </c>
      <c r="D193">
        <v>103</v>
      </c>
      <c r="E193" s="9" t="s">
        <v>7</v>
      </c>
      <c r="F193" s="10">
        <v>44993</v>
      </c>
      <c r="G193">
        <v>9711</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214</v>
      </c>
      <c r="C194" t="s">
        <v>5</v>
      </c>
      <c r="D194">
        <v>20</v>
      </c>
      <c r="E194" s="9" t="s">
        <v>8</v>
      </c>
      <c r="F194" s="10">
        <v>44994</v>
      </c>
      <c r="G194">
        <v>1826</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215</v>
      </c>
      <c r="C195" t="s">
        <v>3</v>
      </c>
      <c r="D195">
        <v>75</v>
      </c>
      <c r="E195" s="9" t="s">
        <v>4</v>
      </c>
      <c r="F195" s="10">
        <v>44994</v>
      </c>
      <c r="G195">
        <v>16185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216</v>
      </c>
      <c r="C196" t="s">
        <v>12</v>
      </c>
      <c r="D196">
        <v>80</v>
      </c>
      <c r="E196" s="9" t="s">
        <v>9</v>
      </c>
      <c r="F196" s="10">
        <v>44994</v>
      </c>
      <c r="G196">
        <v>13944</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217</v>
      </c>
      <c r="C197" t="s">
        <v>13</v>
      </c>
      <c r="D197">
        <v>85</v>
      </c>
      <c r="E197" s="9" t="s">
        <v>11</v>
      </c>
      <c r="F197" s="10">
        <v>44995</v>
      </c>
      <c r="G197">
        <v>3818</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218</v>
      </c>
      <c r="C198" t="s">
        <v>10</v>
      </c>
      <c r="D198">
        <v>155</v>
      </c>
      <c r="E198" s="9" t="s">
        <v>8</v>
      </c>
      <c r="F198" s="10">
        <v>44995</v>
      </c>
      <c r="G198">
        <v>13612</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219</v>
      </c>
      <c r="C199" t="s">
        <v>13</v>
      </c>
      <c r="D199">
        <v>63</v>
      </c>
      <c r="E199" s="9" t="s">
        <v>11</v>
      </c>
      <c r="F199" s="10">
        <v>44995</v>
      </c>
      <c r="G199">
        <v>3984</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220</v>
      </c>
      <c r="C200" t="s">
        <v>21</v>
      </c>
      <c r="D200">
        <v>105</v>
      </c>
      <c r="E200" s="9" t="s">
        <v>7</v>
      </c>
      <c r="F200" s="10">
        <v>44995</v>
      </c>
      <c r="G200">
        <v>7968</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221</v>
      </c>
      <c r="C201" t="s">
        <v>13</v>
      </c>
      <c r="D201">
        <v>71</v>
      </c>
      <c r="E201" s="9" t="s">
        <v>11</v>
      </c>
      <c r="F201" s="10">
        <v>44995</v>
      </c>
      <c r="G201">
        <v>8715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222</v>
      </c>
      <c r="C202" t="s">
        <v>10</v>
      </c>
      <c r="D202">
        <v>100</v>
      </c>
      <c r="E202" s="9" t="s">
        <v>11</v>
      </c>
      <c r="F202" s="10">
        <v>44996</v>
      </c>
      <c r="G202">
        <v>3652</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223</v>
      </c>
      <c r="C203" t="s">
        <v>18</v>
      </c>
      <c r="D203">
        <v>93</v>
      </c>
      <c r="E203" s="9" t="s">
        <v>9</v>
      </c>
      <c r="F203" s="10">
        <v>44996</v>
      </c>
      <c r="G203">
        <v>10956</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224</v>
      </c>
      <c r="C204" t="s">
        <v>21</v>
      </c>
      <c r="D204">
        <v>84</v>
      </c>
      <c r="E204" s="9" t="s">
        <v>8</v>
      </c>
      <c r="F204" s="10">
        <v>44996</v>
      </c>
      <c r="G204">
        <v>4482</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225</v>
      </c>
      <c r="C205" t="s">
        <v>15</v>
      </c>
      <c r="D205">
        <v>56</v>
      </c>
      <c r="E205" s="9" t="s">
        <v>4</v>
      </c>
      <c r="F205" s="10">
        <v>44996</v>
      </c>
      <c r="G205">
        <v>10707</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226</v>
      </c>
      <c r="C206" t="s">
        <v>15</v>
      </c>
      <c r="D206">
        <v>63</v>
      </c>
      <c r="E206" s="9" t="s">
        <v>11</v>
      </c>
      <c r="F206" s="10">
        <v>44996</v>
      </c>
      <c r="G206">
        <v>3486</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227</v>
      </c>
      <c r="C207" t="s">
        <v>20</v>
      </c>
      <c r="D207">
        <v>83</v>
      </c>
      <c r="E207" s="9" t="s">
        <v>11</v>
      </c>
      <c r="F207" s="10">
        <v>44996</v>
      </c>
      <c r="G207">
        <v>3486</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228</v>
      </c>
      <c r="C208" t="s">
        <v>12</v>
      </c>
      <c r="D208">
        <v>134</v>
      </c>
      <c r="E208" s="9" t="s">
        <v>8</v>
      </c>
      <c r="F208" s="10">
        <v>44996</v>
      </c>
      <c r="G208">
        <v>14940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229</v>
      </c>
      <c r="C209" t="s">
        <v>6</v>
      </c>
      <c r="D209">
        <v>73</v>
      </c>
      <c r="E209" s="9" t="s">
        <v>11</v>
      </c>
      <c r="F209" s="10">
        <v>44997</v>
      </c>
      <c r="G209">
        <v>2822</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230</v>
      </c>
      <c r="C210" t="s">
        <v>3</v>
      </c>
      <c r="D210">
        <v>6</v>
      </c>
      <c r="E210" s="9" t="s">
        <v>4</v>
      </c>
      <c r="F210" s="10">
        <v>44997</v>
      </c>
      <c r="G210">
        <v>2407</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231</v>
      </c>
      <c r="C211" t="s">
        <v>14</v>
      </c>
      <c r="D211">
        <v>46</v>
      </c>
      <c r="E211" s="9" t="s">
        <v>7</v>
      </c>
      <c r="F211" s="10">
        <v>44997</v>
      </c>
      <c r="G211">
        <v>13695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232</v>
      </c>
      <c r="C212" t="s">
        <v>3</v>
      </c>
      <c r="D212">
        <v>121</v>
      </c>
      <c r="E212" s="9" t="s">
        <v>11</v>
      </c>
      <c r="F212" s="10">
        <v>44998</v>
      </c>
      <c r="G212">
        <v>2656</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233</v>
      </c>
      <c r="C213" t="s">
        <v>15</v>
      </c>
      <c r="D213">
        <v>61</v>
      </c>
      <c r="E213" s="9" t="s">
        <v>9</v>
      </c>
      <c r="F213" s="10">
        <v>44998</v>
      </c>
      <c r="G213">
        <v>13280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234</v>
      </c>
      <c r="C214" t="s">
        <v>12</v>
      </c>
      <c r="D214">
        <v>144</v>
      </c>
      <c r="E214" s="9" t="s">
        <v>8</v>
      </c>
      <c r="F214" s="10">
        <v>44998</v>
      </c>
      <c r="G214">
        <v>11620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235</v>
      </c>
      <c r="C215" t="s">
        <v>14</v>
      </c>
      <c r="D215">
        <v>145</v>
      </c>
      <c r="E215" s="9" t="s">
        <v>8</v>
      </c>
      <c r="F215" s="10">
        <v>44998</v>
      </c>
      <c r="G215">
        <v>11288</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236</v>
      </c>
      <c r="C216" t="s">
        <v>21</v>
      </c>
      <c r="D216">
        <v>85</v>
      </c>
      <c r="E216" s="9" t="s">
        <v>4</v>
      </c>
      <c r="F216" s="10">
        <v>44998</v>
      </c>
      <c r="G216">
        <v>5478</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237</v>
      </c>
      <c r="C217" t="s">
        <v>14</v>
      </c>
      <c r="D217">
        <v>13</v>
      </c>
      <c r="E217" s="9" t="s">
        <v>9</v>
      </c>
      <c r="F217" s="10">
        <v>44999</v>
      </c>
      <c r="G217">
        <v>5229</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238</v>
      </c>
      <c r="C218" t="s">
        <v>18</v>
      </c>
      <c r="D218">
        <v>142</v>
      </c>
      <c r="E218" s="9" t="s">
        <v>11</v>
      </c>
      <c r="F218" s="10">
        <v>44999</v>
      </c>
      <c r="G218">
        <v>3652</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239</v>
      </c>
      <c r="C219" t="s">
        <v>12</v>
      </c>
      <c r="D219">
        <v>28</v>
      </c>
      <c r="E219" s="9" t="s">
        <v>7</v>
      </c>
      <c r="F219" s="10">
        <v>44999</v>
      </c>
      <c r="G219">
        <v>6474</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240</v>
      </c>
      <c r="C220" t="s">
        <v>12</v>
      </c>
      <c r="D220">
        <v>119</v>
      </c>
      <c r="E220" s="9" t="s">
        <v>11</v>
      </c>
      <c r="F220" s="10">
        <v>44999</v>
      </c>
      <c r="G220">
        <v>1660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241</v>
      </c>
      <c r="C221" t="s">
        <v>3</v>
      </c>
      <c r="D221">
        <v>65</v>
      </c>
      <c r="E221" s="9" t="s">
        <v>4</v>
      </c>
      <c r="F221" s="10">
        <v>44999</v>
      </c>
      <c r="G221">
        <v>6972</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242</v>
      </c>
      <c r="C222" t="s">
        <v>22</v>
      </c>
      <c r="D222">
        <v>68</v>
      </c>
      <c r="E222" s="9" t="s">
        <v>4</v>
      </c>
      <c r="F222" s="10">
        <v>44999</v>
      </c>
      <c r="G222">
        <v>2656</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243</v>
      </c>
      <c r="C223" t="s">
        <v>20</v>
      </c>
      <c r="D223">
        <v>72</v>
      </c>
      <c r="E223" s="9" t="s">
        <v>7</v>
      </c>
      <c r="F223" s="10">
        <v>44999</v>
      </c>
      <c r="G223">
        <v>10956</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244</v>
      </c>
      <c r="C224" t="s">
        <v>20</v>
      </c>
      <c r="D224">
        <v>63</v>
      </c>
      <c r="E224" s="9" t="s">
        <v>8</v>
      </c>
      <c r="F224" s="10">
        <v>44999</v>
      </c>
      <c r="G224">
        <v>8715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245</v>
      </c>
      <c r="C225" t="s">
        <v>10</v>
      </c>
      <c r="D225">
        <v>139</v>
      </c>
      <c r="E225" s="9" t="s">
        <v>11</v>
      </c>
      <c r="F225" s="10">
        <v>45000</v>
      </c>
      <c r="G225">
        <v>3984</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246</v>
      </c>
      <c r="C226" t="s">
        <v>12</v>
      </c>
      <c r="D226">
        <v>59</v>
      </c>
      <c r="E226" s="9" t="s">
        <v>11</v>
      </c>
      <c r="F226" s="10">
        <v>45000</v>
      </c>
      <c r="G226">
        <v>5312</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247</v>
      </c>
      <c r="C227" t="s">
        <v>5</v>
      </c>
      <c r="D227">
        <v>138</v>
      </c>
      <c r="E227" s="9" t="s">
        <v>8</v>
      </c>
      <c r="F227" s="10">
        <v>45000</v>
      </c>
      <c r="G227">
        <v>3652</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248</v>
      </c>
      <c r="C228" t="s">
        <v>10</v>
      </c>
      <c r="D228">
        <v>47</v>
      </c>
      <c r="E228" s="9" t="s">
        <v>7</v>
      </c>
      <c r="F228" s="10">
        <v>45000</v>
      </c>
      <c r="G228">
        <v>9960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249</v>
      </c>
      <c r="C229" t="s">
        <v>5</v>
      </c>
      <c r="D229">
        <v>74</v>
      </c>
      <c r="E229" s="9" t="s">
        <v>7</v>
      </c>
      <c r="F229" s="10">
        <v>45000</v>
      </c>
      <c r="G229">
        <v>11952</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250</v>
      </c>
      <c r="C230" t="s">
        <v>20</v>
      </c>
      <c r="D230">
        <v>65</v>
      </c>
      <c r="E230" s="9" t="s">
        <v>7</v>
      </c>
      <c r="F230" s="10">
        <v>45000</v>
      </c>
      <c r="G230">
        <v>7221</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251</v>
      </c>
      <c r="C231" t="s">
        <v>6</v>
      </c>
      <c r="D231">
        <v>123</v>
      </c>
      <c r="E231" s="9" t="s">
        <v>4</v>
      </c>
      <c r="F231" s="10">
        <v>45000</v>
      </c>
      <c r="G231">
        <v>2988</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252</v>
      </c>
      <c r="C232" t="s">
        <v>20</v>
      </c>
      <c r="D232">
        <v>90</v>
      </c>
      <c r="E232" s="9" t="s">
        <v>11</v>
      </c>
      <c r="F232" s="10">
        <v>45001</v>
      </c>
      <c r="G232">
        <v>5976</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253</v>
      </c>
      <c r="C233" t="s">
        <v>15</v>
      </c>
      <c r="D233">
        <v>127</v>
      </c>
      <c r="E233" s="9" t="s">
        <v>8</v>
      </c>
      <c r="F233" s="10">
        <v>45001</v>
      </c>
      <c r="G233">
        <v>12450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254</v>
      </c>
      <c r="C234" t="s">
        <v>19</v>
      </c>
      <c r="D234">
        <v>60</v>
      </c>
      <c r="E234" s="9" t="s">
        <v>7</v>
      </c>
      <c r="F234" s="10">
        <v>45001</v>
      </c>
      <c r="G234">
        <v>5644</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255</v>
      </c>
      <c r="C235" t="s">
        <v>10</v>
      </c>
      <c r="D235">
        <v>94</v>
      </c>
      <c r="E235" s="9" t="s">
        <v>8</v>
      </c>
      <c r="F235" s="10">
        <v>45001</v>
      </c>
      <c r="G235">
        <v>8217</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256</v>
      </c>
      <c r="C236" t="s">
        <v>6</v>
      </c>
      <c r="D236">
        <v>54</v>
      </c>
      <c r="E236" s="9" t="s">
        <v>7</v>
      </c>
      <c r="F236" s="10">
        <v>45001</v>
      </c>
      <c r="G236">
        <v>2158</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257</v>
      </c>
      <c r="C237" t="s">
        <v>20</v>
      </c>
      <c r="D237">
        <v>104</v>
      </c>
      <c r="E237" s="9" t="s">
        <v>7</v>
      </c>
      <c r="F237" s="10">
        <v>45001</v>
      </c>
      <c r="G237">
        <v>7304</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258</v>
      </c>
      <c r="C238" t="s">
        <v>13</v>
      </c>
      <c r="D238">
        <v>100</v>
      </c>
      <c r="E238" s="9" t="s">
        <v>7</v>
      </c>
      <c r="F238" s="10">
        <v>45001</v>
      </c>
      <c r="G238">
        <v>10292</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259</v>
      </c>
      <c r="C239" t="s">
        <v>5</v>
      </c>
      <c r="D239">
        <v>84</v>
      </c>
      <c r="E239" s="9" t="s">
        <v>7</v>
      </c>
      <c r="F239" s="10">
        <v>45001</v>
      </c>
      <c r="G239">
        <v>5976</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260</v>
      </c>
      <c r="C240" t="s">
        <v>18</v>
      </c>
      <c r="D240">
        <v>92</v>
      </c>
      <c r="E240" s="9" t="s">
        <v>9</v>
      </c>
      <c r="F240" s="10">
        <v>45002</v>
      </c>
      <c r="G240">
        <v>10375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261</v>
      </c>
      <c r="C241" t="s">
        <v>16</v>
      </c>
      <c r="D241">
        <v>64</v>
      </c>
      <c r="E241" s="9" t="s">
        <v>8</v>
      </c>
      <c r="F241" s="10">
        <v>45002</v>
      </c>
      <c r="G241">
        <v>1826</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262</v>
      </c>
      <c r="C242" t="s">
        <v>21</v>
      </c>
      <c r="D242">
        <v>89</v>
      </c>
      <c r="E242" s="9" t="s">
        <v>11</v>
      </c>
      <c r="F242" s="10">
        <v>45003</v>
      </c>
      <c r="G242">
        <v>5810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263</v>
      </c>
      <c r="C243" t="s">
        <v>17</v>
      </c>
      <c r="D243">
        <v>40</v>
      </c>
      <c r="E243" s="9" t="s">
        <v>7</v>
      </c>
      <c r="F243" s="10">
        <v>45003</v>
      </c>
      <c r="G243">
        <v>1992</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264</v>
      </c>
      <c r="C244" t="s">
        <v>12</v>
      </c>
      <c r="D244">
        <v>75</v>
      </c>
      <c r="E244" s="9" t="s">
        <v>4</v>
      </c>
      <c r="F244" s="10">
        <v>45003</v>
      </c>
      <c r="G244">
        <v>2656</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265</v>
      </c>
      <c r="C245" t="s">
        <v>15</v>
      </c>
      <c r="D245">
        <v>106</v>
      </c>
      <c r="E245" s="9" t="s">
        <v>9</v>
      </c>
      <c r="F245" s="10">
        <v>45003</v>
      </c>
      <c r="G245">
        <v>9296</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266</v>
      </c>
      <c r="C246" t="s">
        <v>16</v>
      </c>
      <c r="D246">
        <v>58</v>
      </c>
      <c r="E246" s="9" t="s">
        <v>7</v>
      </c>
      <c r="F246" s="10">
        <v>45004</v>
      </c>
      <c r="G246">
        <v>3569</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267</v>
      </c>
      <c r="C247" t="s">
        <v>5</v>
      </c>
      <c r="D247">
        <v>84</v>
      </c>
      <c r="E247" s="9" t="s">
        <v>9</v>
      </c>
      <c r="F247" s="10">
        <v>45004</v>
      </c>
      <c r="G247">
        <v>1826</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268</v>
      </c>
      <c r="C248" t="s">
        <v>20</v>
      </c>
      <c r="D248">
        <v>140</v>
      </c>
      <c r="E248" s="9" t="s">
        <v>9</v>
      </c>
      <c r="F248" s="10">
        <v>45004</v>
      </c>
      <c r="G248">
        <v>7719</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269</v>
      </c>
      <c r="C249" t="s">
        <v>16</v>
      </c>
      <c r="D249">
        <v>67</v>
      </c>
      <c r="E249" s="9" t="s">
        <v>9</v>
      </c>
      <c r="F249" s="10">
        <v>45004</v>
      </c>
      <c r="G249">
        <v>3735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270</v>
      </c>
      <c r="C250" t="s">
        <v>10</v>
      </c>
      <c r="D250">
        <v>126</v>
      </c>
      <c r="E250" s="9" t="s">
        <v>9</v>
      </c>
      <c r="F250" s="10">
        <v>45005</v>
      </c>
      <c r="G250">
        <v>7968</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271</v>
      </c>
      <c r="C251" t="s">
        <v>10</v>
      </c>
      <c r="D251">
        <v>89</v>
      </c>
      <c r="E251" s="9" t="s">
        <v>7</v>
      </c>
      <c r="F251" s="10">
        <v>45005</v>
      </c>
      <c r="G251">
        <v>7968</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272</v>
      </c>
      <c r="C252" t="s">
        <v>21</v>
      </c>
      <c r="D252">
        <v>56</v>
      </c>
      <c r="E252" s="9" t="s">
        <v>8</v>
      </c>
      <c r="F252" s="10">
        <v>45005</v>
      </c>
      <c r="G252">
        <v>2573</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273</v>
      </c>
      <c r="C253" t="s">
        <v>6</v>
      </c>
      <c r="D253">
        <v>48</v>
      </c>
      <c r="E253" s="9" t="s">
        <v>7</v>
      </c>
      <c r="F253" s="10">
        <v>45005</v>
      </c>
      <c r="G253">
        <v>16600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274</v>
      </c>
      <c r="C254" t="s">
        <v>10</v>
      </c>
      <c r="D254">
        <v>55</v>
      </c>
      <c r="E254" s="9" t="s">
        <v>8</v>
      </c>
      <c r="F254" s="10">
        <v>45005</v>
      </c>
      <c r="G254">
        <v>8217</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275</v>
      </c>
      <c r="C255" t="s">
        <v>19</v>
      </c>
      <c r="D255">
        <v>88</v>
      </c>
      <c r="E255" s="9" t="s">
        <v>4</v>
      </c>
      <c r="F255" s="10">
        <v>45005</v>
      </c>
      <c r="G255">
        <v>11952</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276</v>
      </c>
      <c r="C256" t="s">
        <v>21</v>
      </c>
      <c r="D256">
        <v>102</v>
      </c>
      <c r="E256" s="9" t="s">
        <v>9</v>
      </c>
      <c r="F256" s="10">
        <v>45006</v>
      </c>
      <c r="G256">
        <v>6723</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277</v>
      </c>
      <c r="C257" t="s">
        <v>19</v>
      </c>
      <c r="D257">
        <v>155</v>
      </c>
      <c r="E257" s="9" t="s">
        <v>4</v>
      </c>
      <c r="F257" s="10">
        <v>45006</v>
      </c>
      <c r="G257">
        <v>5810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278</v>
      </c>
      <c r="C258" t="s">
        <v>10</v>
      </c>
      <c r="D258">
        <v>63</v>
      </c>
      <c r="E258" s="9" t="s">
        <v>4</v>
      </c>
      <c r="F258" s="10">
        <v>45006</v>
      </c>
      <c r="G258">
        <v>12284</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279</v>
      </c>
      <c r="C259" t="s">
        <v>13</v>
      </c>
      <c r="D259">
        <v>59</v>
      </c>
      <c r="E259" s="9" t="s">
        <v>9</v>
      </c>
      <c r="F259" s="10">
        <v>45006</v>
      </c>
      <c r="G259">
        <v>17845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280</v>
      </c>
      <c r="C260" t="s">
        <v>13</v>
      </c>
      <c r="D260">
        <v>144</v>
      </c>
      <c r="E260" s="9" t="s">
        <v>7</v>
      </c>
      <c r="F260" s="10">
        <v>45006</v>
      </c>
      <c r="G260">
        <v>10292</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281</v>
      </c>
      <c r="C261" t="s">
        <v>5</v>
      </c>
      <c r="D261">
        <v>113</v>
      </c>
      <c r="E261" s="9" t="s">
        <v>11</v>
      </c>
      <c r="F261" s="10">
        <v>45006</v>
      </c>
      <c r="G261">
        <v>13944</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282</v>
      </c>
      <c r="C262" t="s">
        <v>14</v>
      </c>
      <c r="D262">
        <v>154</v>
      </c>
      <c r="E262" s="9" t="s">
        <v>8</v>
      </c>
      <c r="F262" s="10">
        <v>45006</v>
      </c>
      <c r="G262">
        <v>7470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283</v>
      </c>
      <c r="C263" t="s">
        <v>14</v>
      </c>
      <c r="D263">
        <v>58</v>
      </c>
      <c r="E263" s="9" t="s">
        <v>9</v>
      </c>
      <c r="F263" s="10">
        <v>45007</v>
      </c>
      <c r="G263">
        <v>14608</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284</v>
      </c>
      <c r="C264" t="s">
        <v>6</v>
      </c>
      <c r="D264">
        <v>63</v>
      </c>
      <c r="E264" s="9" t="s">
        <v>4</v>
      </c>
      <c r="F264" s="10">
        <v>45007</v>
      </c>
      <c r="G264">
        <v>7221</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285</v>
      </c>
      <c r="C265" t="s">
        <v>20</v>
      </c>
      <c r="D265">
        <v>59</v>
      </c>
      <c r="E265" s="9" t="s">
        <v>7</v>
      </c>
      <c r="F265" s="10">
        <v>45007</v>
      </c>
      <c r="G265">
        <v>10624</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286</v>
      </c>
      <c r="C266" t="s">
        <v>3</v>
      </c>
      <c r="D266">
        <v>129</v>
      </c>
      <c r="E266" s="9" t="s">
        <v>4</v>
      </c>
      <c r="F266" s="10">
        <v>45007</v>
      </c>
      <c r="G266">
        <v>9960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287</v>
      </c>
      <c r="C267" t="s">
        <v>22</v>
      </c>
      <c r="D267">
        <v>101</v>
      </c>
      <c r="E267" s="9" t="s">
        <v>11</v>
      </c>
      <c r="F267" s="10">
        <v>45007</v>
      </c>
      <c r="G267">
        <v>10790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288</v>
      </c>
      <c r="C268" t="s">
        <v>17</v>
      </c>
      <c r="D268">
        <v>154</v>
      </c>
      <c r="E268" s="9" t="s">
        <v>7</v>
      </c>
      <c r="F268" s="10">
        <v>45007</v>
      </c>
      <c r="G268">
        <v>14276</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289</v>
      </c>
      <c r="C269" t="s">
        <v>16</v>
      </c>
      <c r="D269">
        <v>131</v>
      </c>
      <c r="E269" s="9" t="s">
        <v>7</v>
      </c>
      <c r="F269" s="10">
        <v>45007</v>
      </c>
      <c r="G269">
        <v>4814</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290</v>
      </c>
      <c r="C270" t="s">
        <v>13</v>
      </c>
      <c r="D270">
        <v>111</v>
      </c>
      <c r="E270" s="9" t="s">
        <v>11</v>
      </c>
      <c r="F270" s="10">
        <v>45008</v>
      </c>
      <c r="G270">
        <v>7138</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291</v>
      </c>
      <c r="C271" t="s">
        <v>14</v>
      </c>
      <c r="D271">
        <v>142</v>
      </c>
      <c r="E271" s="9" t="s">
        <v>11</v>
      </c>
      <c r="F271" s="10">
        <v>45009</v>
      </c>
      <c r="G271">
        <v>2573</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292</v>
      </c>
      <c r="C272" t="s">
        <v>21</v>
      </c>
      <c r="D272">
        <v>93</v>
      </c>
      <c r="E272" s="9" t="s">
        <v>4</v>
      </c>
      <c r="F272" s="10">
        <v>45009</v>
      </c>
      <c r="G272">
        <v>5976</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293</v>
      </c>
      <c r="C273" t="s">
        <v>14</v>
      </c>
      <c r="D273">
        <v>125</v>
      </c>
      <c r="E273" s="9" t="s">
        <v>8</v>
      </c>
      <c r="F273" s="10">
        <v>45010</v>
      </c>
      <c r="G273">
        <v>2241</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294</v>
      </c>
      <c r="C274" t="s">
        <v>3</v>
      </c>
      <c r="D274">
        <v>76</v>
      </c>
      <c r="E274" s="9" t="s">
        <v>7</v>
      </c>
      <c r="F274" s="10">
        <v>45010</v>
      </c>
      <c r="G274">
        <v>9130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295</v>
      </c>
      <c r="C275" t="s">
        <v>5</v>
      </c>
      <c r="D275">
        <v>69</v>
      </c>
      <c r="E275" s="9" t="s">
        <v>4</v>
      </c>
      <c r="F275" s="10">
        <v>45010</v>
      </c>
      <c r="G275">
        <v>10458</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296</v>
      </c>
      <c r="C276" t="s">
        <v>20</v>
      </c>
      <c r="D276">
        <v>149</v>
      </c>
      <c r="E276" s="9" t="s">
        <v>8</v>
      </c>
      <c r="F276" s="10">
        <v>45010</v>
      </c>
      <c r="G276">
        <v>4980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297</v>
      </c>
      <c r="C277" t="s">
        <v>14</v>
      </c>
      <c r="D277">
        <v>57</v>
      </c>
      <c r="E277" s="9" t="s">
        <v>4</v>
      </c>
      <c r="F277" s="10">
        <v>45010</v>
      </c>
      <c r="G277">
        <v>2905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298</v>
      </c>
      <c r="C278" t="s">
        <v>10</v>
      </c>
      <c r="D278">
        <v>113</v>
      </c>
      <c r="E278" s="9" t="s">
        <v>7</v>
      </c>
      <c r="F278" s="10">
        <v>45010</v>
      </c>
      <c r="G278">
        <v>6723</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299</v>
      </c>
      <c r="C279" t="s">
        <v>18</v>
      </c>
      <c r="D279">
        <v>160</v>
      </c>
      <c r="E279" s="9" t="s">
        <v>8</v>
      </c>
      <c r="F279" s="10">
        <v>45010</v>
      </c>
      <c r="G279">
        <v>9628</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300</v>
      </c>
      <c r="C280" t="s">
        <v>6</v>
      </c>
      <c r="D280">
        <v>158</v>
      </c>
      <c r="E280" s="9" t="s">
        <v>9</v>
      </c>
      <c r="F280" s="10">
        <v>45010</v>
      </c>
      <c r="G280">
        <v>4980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301</v>
      </c>
      <c r="C281" t="s">
        <v>5</v>
      </c>
      <c r="D281">
        <v>77</v>
      </c>
      <c r="E281" s="9" t="s">
        <v>8</v>
      </c>
      <c r="F281" s="10">
        <v>45011</v>
      </c>
      <c r="G281">
        <v>10790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302</v>
      </c>
      <c r="C282" t="s">
        <v>12</v>
      </c>
      <c r="D282">
        <v>118</v>
      </c>
      <c r="E282" s="9" t="s">
        <v>11</v>
      </c>
      <c r="F282" s="10">
        <v>45011</v>
      </c>
      <c r="G282">
        <v>8217</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303</v>
      </c>
      <c r="C283" t="s">
        <v>17</v>
      </c>
      <c r="D283">
        <v>75</v>
      </c>
      <c r="E283" s="9" t="s">
        <v>7</v>
      </c>
      <c r="F283" s="10">
        <v>45011</v>
      </c>
      <c r="G283">
        <v>11205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304</v>
      </c>
      <c r="C284" t="s">
        <v>10</v>
      </c>
      <c r="D284">
        <v>103</v>
      </c>
      <c r="E284" s="9" t="s">
        <v>8</v>
      </c>
      <c r="F284" s="10">
        <v>45011</v>
      </c>
      <c r="G284">
        <v>3486</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305</v>
      </c>
      <c r="C285" t="s">
        <v>5</v>
      </c>
      <c r="D285">
        <v>116</v>
      </c>
      <c r="E285" s="9" t="s">
        <v>11</v>
      </c>
      <c r="F285" s="10">
        <v>45012</v>
      </c>
      <c r="G285">
        <v>5229</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306</v>
      </c>
      <c r="C286" t="s">
        <v>13</v>
      </c>
      <c r="D286">
        <v>61</v>
      </c>
      <c r="E286" s="9" t="s">
        <v>9</v>
      </c>
      <c r="F286" s="10">
        <v>45012</v>
      </c>
      <c r="G286">
        <v>11620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307</v>
      </c>
      <c r="C287" t="s">
        <v>14</v>
      </c>
      <c r="D287">
        <v>126</v>
      </c>
      <c r="E287" s="9" t="s">
        <v>7</v>
      </c>
      <c r="F287" s="10">
        <v>45012</v>
      </c>
      <c r="G287">
        <v>10624</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308</v>
      </c>
      <c r="C288" t="s">
        <v>22</v>
      </c>
      <c r="D288">
        <v>141</v>
      </c>
      <c r="E288" s="9" t="s">
        <v>4</v>
      </c>
      <c r="F288" s="10">
        <v>45012</v>
      </c>
      <c r="G288">
        <v>6640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309</v>
      </c>
      <c r="C289" t="s">
        <v>6</v>
      </c>
      <c r="D289">
        <v>95</v>
      </c>
      <c r="E289" s="9" t="s">
        <v>11</v>
      </c>
      <c r="F289" s="10">
        <v>45012</v>
      </c>
      <c r="G289">
        <v>2324</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310</v>
      </c>
      <c r="C290" t="s">
        <v>17</v>
      </c>
      <c r="D290">
        <v>39</v>
      </c>
      <c r="E290" s="9" t="s">
        <v>9</v>
      </c>
      <c r="F290" s="10">
        <v>45013</v>
      </c>
      <c r="G290">
        <v>6723</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311</v>
      </c>
      <c r="C291" t="s">
        <v>10</v>
      </c>
      <c r="D291">
        <v>127</v>
      </c>
      <c r="E291" s="9" t="s">
        <v>7</v>
      </c>
      <c r="F291" s="10">
        <v>45013</v>
      </c>
      <c r="G291">
        <v>8217</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312</v>
      </c>
      <c r="C292" t="s">
        <v>13</v>
      </c>
      <c r="D292">
        <v>78</v>
      </c>
      <c r="E292" s="9" t="s">
        <v>7</v>
      </c>
      <c r="F292" s="10">
        <v>45013</v>
      </c>
      <c r="G292">
        <v>3569</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313</v>
      </c>
      <c r="C293" t="s">
        <v>12</v>
      </c>
      <c r="D293">
        <v>40</v>
      </c>
      <c r="E293" s="9" t="s">
        <v>7</v>
      </c>
      <c r="F293" s="10">
        <v>45013</v>
      </c>
      <c r="G293">
        <v>2822</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314</v>
      </c>
      <c r="C294" t="s">
        <v>13</v>
      </c>
      <c r="D294">
        <v>56</v>
      </c>
      <c r="E294" s="9" t="s">
        <v>9</v>
      </c>
      <c r="F294" s="10">
        <v>45013</v>
      </c>
      <c r="G294">
        <v>18675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315</v>
      </c>
      <c r="C295" t="s">
        <v>17</v>
      </c>
      <c r="D295">
        <v>59</v>
      </c>
      <c r="E295" s="9" t="s">
        <v>4</v>
      </c>
      <c r="F295" s="10">
        <v>45013</v>
      </c>
      <c r="G295">
        <v>17430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316</v>
      </c>
      <c r="C296" t="s">
        <v>14</v>
      </c>
      <c r="D296">
        <v>30</v>
      </c>
      <c r="E296" s="9" t="s">
        <v>7</v>
      </c>
      <c r="F296" s="10">
        <v>45013</v>
      </c>
      <c r="G296">
        <v>13944</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317</v>
      </c>
      <c r="C297" t="s">
        <v>12</v>
      </c>
      <c r="D297">
        <v>63</v>
      </c>
      <c r="E297" s="9" t="s">
        <v>8</v>
      </c>
      <c r="F297" s="10">
        <v>45014</v>
      </c>
      <c r="G297">
        <v>6806</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318</v>
      </c>
      <c r="C298" t="s">
        <v>21</v>
      </c>
      <c r="D298">
        <v>56</v>
      </c>
      <c r="E298" s="9" t="s">
        <v>11</v>
      </c>
      <c r="F298" s="10">
        <v>45014</v>
      </c>
      <c r="G298">
        <v>7304</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319</v>
      </c>
      <c r="C299" t="s">
        <v>3</v>
      </c>
      <c r="D299">
        <v>95</v>
      </c>
      <c r="E299" s="9" t="s">
        <v>8</v>
      </c>
      <c r="F299" s="10">
        <v>45014</v>
      </c>
      <c r="G299">
        <v>9213</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320</v>
      </c>
      <c r="C300" t="s">
        <v>15</v>
      </c>
      <c r="D300">
        <v>128</v>
      </c>
      <c r="E300" s="9" t="s">
        <v>4</v>
      </c>
      <c r="F300" s="10">
        <v>45014</v>
      </c>
      <c r="G300">
        <v>4980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321</v>
      </c>
      <c r="C301" t="s">
        <v>6</v>
      </c>
      <c r="D301">
        <v>49</v>
      </c>
      <c r="E301" s="9" t="s">
        <v>8</v>
      </c>
      <c r="F301" s="10">
        <v>45014</v>
      </c>
      <c r="G301">
        <v>6640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322</v>
      </c>
      <c r="C302" t="s">
        <v>15</v>
      </c>
      <c r="D302">
        <v>89</v>
      </c>
      <c r="E302" s="9" t="s">
        <v>9</v>
      </c>
      <c r="F302" s="10">
        <v>45016</v>
      </c>
      <c r="G302">
        <v>7470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323</v>
      </c>
      <c r="C303" t="s">
        <v>20</v>
      </c>
      <c r="D303">
        <v>87</v>
      </c>
      <c r="E303" s="9" t="s">
        <v>8</v>
      </c>
      <c r="F303" s="10">
        <v>45016</v>
      </c>
      <c r="G303">
        <v>18675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324</v>
      </c>
      <c r="C304" t="s">
        <v>18</v>
      </c>
      <c r="D304">
        <v>60</v>
      </c>
      <c r="E304" s="9" t="s">
        <v>7</v>
      </c>
      <c r="F304" s="10">
        <v>45017</v>
      </c>
      <c r="G304">
        <v>17845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325</v>
      </c>
      <c r="C305" t="s">
        <v>19</v>
      </c>
      <c r="D305">
        <v>42</v>
      </c>
      <c r="E305" s="9" t="s">
        <v>9</v>
      </c>
      <c r="F305" s="10">
        <v>45017</v>
      </c>
      <c r="G305">
        <v>3735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326</v>
      </c>
      <c r="C306" t="s">
        <v>16</v>
      </c>
      <c r="D306">
        <v>99</v>
      </c>
      <c r="E306" s="9" t="s">
        <v>7</v>
      </c>
      <c r="F306" s="10">
        <v>45017</v>
      </c>
      <c r="G306">
        <v>6142</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327</v>
      </c>
      <c r="C307" t="s">
        <v>21</v>
      </c>
      <c r="D307">
        <v>20</v>
      </c>
      <c r="E307" s="9" t="s">
        <v>9</v>
      </c>
      <c r="F307" s="10">
        <v>45017</v>
      </c>
      <c r="G307">
        <v>4980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328</v>
      </c>
      <c r="C308" t="s">
        <v>12</v>
      </c>
      <c r="D308">
        <v>65</v>
      </c>
      <c r="E308" s="9" t="s">
        <v>7</v>
      </c>
      <c r="F308" s="10">
        <v>45017</v>
      </c>
      <c r="G308">
        <v>5312</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329</v>
      </c>
      <c r="C309" t="s">
        <v>14</v>
      </c>
      <c r="D309">
        <v>71</v>
      </c>
      <c r="E309" s="9" t="s">
        <v>8</v>
      </c>
      <c r="F309" s="10">
        <v>45018</v>
      </c>
      <c r="G309">
        <v>9130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330</v>
      </c>
      <c r="C310" t="s">
        <v>10</v>
      </c>
      <c r="D310">
        <v>95</v>
      </c>
      <c r="E310" s="9" t="s">
        <v>4</v>
      </c>
      <c r="F310" s="10">
        <v>45018</v>
      </c>
      <c r="G310">
        <v>4316</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331</v>
      </c>
      <c r="C311" t="s">
        <v>21</v>
      </c>
      <c r="D311">
        <v>81</v>
      </c>
      <c r="E311" s="9" t="s">
        <v>11</v>
      </c>
      <c r="F311" s="10">
        <v>45019</v>
      </c>
      <c r="G311">
        <v>13280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332</v>
      </c>
      <c r="C312" t="s">
        <v>5</v>
      </c>
      <c r="D312">
        <v>137</v>
      </c>
      <c r="E312" s="9" t="s">
        <v>11</v>
      </c>
      <c r="F312" s="10">
        <v>45019</v>
      </c>
      <c r="G312">
        <v>17845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333</v>
      </c>
      <c r="C313" t="s">
        <v>5</v>
      </c>
      <c r="D313">
        <v>40</v>
      </c>
      <c r="E313" s="9" t="s">
        <v>4</v>
      </c>
      <c r="F313" s="10">
        <v>45019</v>
      </c>
      <c r="G313">
        <v>18260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334</v>
      </c>
      <c r="C314" t="s">
        <v>16</v>
      </c>
      <c r="D314">
        <v>111</v>
      </c>
      <c r="E314" s="9" t="s">
        <v>7</v>
      </c>
      <c r="F314" s="10">
        <v>45020</v>
      </c>
      <c r="G314">
        <v>14525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335</v>
      </c>
      <c r="C315" t="s">
        <v>14</v>
      </c>
      <c r="D315">
        <v>106</v>
      </c>
      <c r="E315" s="9" t="s">
        <v>7</v>
      </c>
      <c r="F315" s="10">
        <v>45020</v>
      </c>
      <c r="G315">
        <v>12035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336</v>
      </c>
      <c r="C316" t="s">
        <v>19</v>
      </c>
      <c r="D316">
        <v>133</v>
      </c>
      <c r="E316" s="9" t="s">
        <v>9</v>
      </c>
      <c r="F316" s="10">
        <v>45020</v>
      </c>
      <c r="G316">
        <v>5976</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337</v>
      </c>
      <c r="C317" t="s">
        <v>13</v>
      </c>
      <c r="D317">
        <v>38</v>
      </c>
      <c r="E317" s="9" t="s">
        <v>7</v>
      </c>
      <c r="F317" s="10">
        <v>45021</v>
      </c>
      <c r="G317">
        <v>6723</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338</v>
      </c>
      <c r="C318" t="s">
        <v>17</v>
      </c>
      <c r="D318">
        <v>130</v>
      </c>
      <c r="E318" s="9" t="s">
        <v>4</v>
      </c>
      <c r="F318" s="10">
        <v>45021</v>
      </c>
      <c r="G318">
        <v>4482</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339</v>
      </c>
      <c r="C319" t="s">
        <v>12</v>
      </c>
      <c r="D319">
        <v>23</v>
      </c>
      <c r="E319" s="9" t="s">
        <v>9</v>
      </c>
      <c r="F319" s="10">
        <v>45021</v>
      </c>
      <c r="G319">
        <v>8715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340</v>
      </c>
      <c r="C320" t="s">
        <v>17</v>
      </c>
      <c r="D320">
        <v>124</v>
      </c>
      <c r="E320" s="9" t="s">
        <v>7</v>
      </c>
      <c r="F320" s="10">
        <v>45022</v>
      </c>
      <c r="G320">
        <v>14608</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341</v>
      </c>
      <c r="C321" t="s">
        <v>21</v>
      </c>
      <c r="D321">
        <v>107</v>
      </c>
      <c r="E321" s="9" t="s">
        <v>7</v>
      </c>
      <c r="F321" s="10">
        <v>45022</v>
      </c>
      <c r="G321">
        <v>9545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342</v>
      </c>
      <c r="C322" t="s">
        <v>5</v>
      </c>
      <c r="D322">
        <v>60</v>
      </c>
      <c r="E322" s="9" t="s">
        <v>8</v>
      </c>
      <c r="F322" s="10">
        <v>45022</v>
      </c>
      <c r="G322">
        <v>9628</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343</v>
      </c>
      <c r="C323" t="s">
        <v>5</v>
      </c>
      <c r="D323">
        <v>158</v>
      </c>
      <c r="E323" s="9" t="s">
        <v>4</v>
      </c>
      <c r="F323" s="10">
        <v>45022</v>
      </c>
      <c r="G323">
        <v>8300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344</v>
      </c>
      <c r="C324" t="s">
        <v>20</v>
      </c>
      <c r="D324">
        <v>110</v>
      </c>
      <c r="E324" s="9" t="s">
        <v>4</v>
      </c>
      <c r="F324" s="10">
        <v>45023</v>
      </c>
      <c r="G324">
        <v>2988</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345</v>
      </c>
      <c r="C325" t="s">
        <v>15</v>
      </c>
      <c r="D325">
        <v>70</v>
      </c>
      <c r="E325" s="9" t="s">
        <v>4</v>
      </c>
      <c r="F325" s="10">
        <v>45023</v>
      </c>
      <c r="G325">
        <v>9462</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346</v>
      </c>
      <c r="C326" t="s">
        <v>15</v>
      </c>
      <c r="D326">
        <v>150</v>
      </c>
      <c r="E326" s="9" t="s">
        <v>8</v>
      </c>
      <c r="F326" s="10">
        <v>45023</v>
      </c>
      <c r="G326">
        <v>1992</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347</v>
      </c>
      <c r="C327" t="s">
        <v>13</v>
      </c>
      <c r="D327">
        <v>36</v>
      </c>
      <c r="E327" s="9" t="s">
        <v>7</v>
      </c>
      <c r="F327" s="10">
        <v>45023</v>
      </c>
      <c r="G327">
        <v>11205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348</v>
      </c>
      <c r="C328" t="s">
        <v>17</v>
      </c>
      <c r="D328">
        <v>74</v>
      </c>
      <c r="E328" s="9" t="s">
        <v>7</v>
      </c>
      <c r="F328" s="10">
        <v>45023</v>
      </c>
      <c r="G328">
        <v>2490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349</v>
      </c>
      <c r="C329" t="s">
        <v>10</v>
      </c>
      <c r="D329">
        <v>75</v>
      </c>
      <c r="E329" s="9" t="s">
        <v>7</v>
      </c>
      <c r="F329" s="10">
        <v>45023</v>
      </c>
      <c r="G329">
        <v>6972</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350</v>
      </c>
      <c r="C330" t="s">
        <v>3</v>
      </c>
      <c r="D330">
        <v>70</v>
      </c>
      <c r="E330" s="9" t="s">
        <v>11</v>
      </c>
      <c r="F330" s="10">
        <v>45023</v>
      </c>
      <c r="G330">
        <v>3486</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351</v>
      </c>
      <c r="C331" t="s">
        <v>20</v>
      </c>
      <c r="D331">
        <v>23</v>
      </c>
      <c r="E331" s="9" t="s">
        <v>4</v>
      </c>
      <c r="F331" s="10">
        <v>45023</v>
      </c>
      <c r="G331">
        <v>9711</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352</v>
      </c>
      <c r="C332" t="s">
        <v>16</v>
      </c>
      <c r="D332">
        <v>104</v>
      </c>
      <c r="E332" s="9" t="s">
        <v>9</v>
      </c>
      <c r="F332" s="10">
        <v>45023</v>
      </c>
      <c r="G332">
        <v>13612</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353</v>
      </c>
      <c r="C333" t="s">
        <v>15</v>
      </c>
      <c r="D333">
        <v>95</v>
      </c>
      <c r="E333" s="9" t="s">
        <v>11</v>
      </c>
      <c r="F333" s="10">
        <v>45024</v>
      </c>
      <c r="G333">
        <v>10209</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354</v>
      </c>
      <c r="C334" t="s">
        <v>6</v>
      </c>
      <c r="D334">
        <v>49</v>
      </c>
      <c r="E334" s="9" t="s">
        <v>8</v>
      </c>
      <c r="F334" s="10">
        <v>45024</v>
      </c>
      <c r="G334">
        <v>14276</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355</v>
      </c>
      <c r="C335" t="s">
        <v>14</v>
      </c>
      <c r="D335">
        <v>8</v>
      </c>
      <c r="E335" s="9" t="s">
        <v>4</v>
      </c>
      <c r="F335" s="10">
        <v>45024</v>
      </c>
      <c r="G335">
        <v>1660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356</v>
      </c>
      <c r="C336" t="s">
        <v>15</v>
      </c>
      <c r="D336">
        <v>157</v>
      </c>
      <c r="E336" s="9" t="s">
        <v>8</v>
      </c>
      <c r="F336" s="10">
        <v>45024</v>
      </c>
      <c r="G336">
        <v>5976</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357</v>
      </c>
      <c r="C337" t="s">
        <v>21</v>
      </c>
      <c r="D337">
        <v>74</v>
      </c>
      <c r="E337" s="9" t="s">
        <v>7</v>
      </c>
      <c r="F337" s="10">
        <v>45024</v>
      </c>
      <c r="G337">
        <v>2656</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358</v>
      </c>
      <c r="C338" t="s">
        <v>20</v>
      </c>
      <c r="D338">
        <v>72</v>
      </c>
      <c r="E338" s="9" t="s">
        <v>11</v>
      </c>
      <c r="F338" s="10">
        <v>45024</v>
      </c>
      <c r="G338">
        <v>11620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359</v>
      </c>
      <c r="C339" t="s">
        <v>21</v>
      </c>
      <c r="D339">
        <v>79</v>
      </c>
      <c r="E339" s="9" t="s">
        <v>7</v>
      </c>
      <c r="F339" s="10">
        <v>45025</v>
      </c>
      <c r="G339">
        <v>9960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360</v>
      </c>
      <c r="C340" t="s">
        <v>17</v>
      </c>
      <c r="D340">
        <v>23</v>
      </c>
      <c r="E340" s="9" t="s">
        <v>7</v>
      </c>
      <c r="F340" s="10">
        <v>45025</v>
      </c>
      <c r="G340">
        <v>7138</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361</v>
      </c>
      <c r="C341" t="s">
        <v>10</v>
      </c>
      <c r="D341">
        <v>69</v>
      </c>
      <c r="E341" s="9" t="s">
        <v>7</v>
      </c>
      <c r="F341" s="10">
        <v>45025</v>
      </c>
      <c r="G341">
        <v>10956</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362</v>
      </c>
      <c r="C342" t="s">
        <v>5</v>
      </c>
      <c r="D342">
        <v>64</v>
      </c>
      <c r="E342" s="9" t="s">
        <v>7</v>
      </c>
      <c r="F342" s="10">
        <v>45025</v>
      </c>
      <c r="G342">
        <v>6640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363</v>
      </c>
      <c r="C343" t="s">
        <v>22</v>
      </c>
      <c r="D343">
        <v>47</v>
      </c>
      <c r="E343" s="9" t="s">
        <v>8</v>
      </c>
      <c r="F343" s="10">
        <v>45025</v>
      </c>
      <c r="G343">
        <v>10956</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364</v>
      </c>
      <c r="C344" t="s">
        <v>21</v>
      </c>
      <c r="D344">
        <v>55</v>
      </c>
      <c r="E344" s="9" t="s">
        <v>11</v>
      </c>
      <c r="F344" s="10">
        <v>45025</v>
      </c>
      <c r="G344">
        <v>2241</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365</v>
      </c>
      <c r="C345" t="s">
        <v>16</v>
      </c>
      <c r="D345">
        <v>104</v>
      </c>
      <c r="E345" s="9" t="s">
        <v>11</v>
      </c>
      <c r="F345" s="10">
        <v>45026</v>
      </c>
      <c r="G345">
        <v>5644</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366</v>
      </c>
      <c r="C346" t="s">
        <v>22</v>
      </c>
      <c r="D346">
        <v>116</v>
      </c>
      <c r="E346" s="9" t="s">
        <v>7</v>
      </c>
      <c r="F346" s="10">
        <v>45026</v>
      </c>
      <c r="G346">
        <v>1826</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367</v>
      </c>
      <c r="C347" t="s">
        <v>17</v>
      </c>
      <c r="D347">
        <v>99</v>
      </c>
      <c r="E347" s="9" t="s">
        <v>11</v>
      </c>
      <c r="F347" s="10">
        <v>45026</v>
      </c>
      <c r="G347">
        <v>3486</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368</v>
      </c>
      <c r="C348" t="s">
        <v>16</v>
      </c>
      <c r="D348">
        <v>84</v>
      </c>
      <c r="E348" s="9" t="s">
        <v>11</v>
      </c>
      <c r="F348" s="10">
        <v>45027</v>
      </c>
      <c r="G348">
        <v>3154</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369</v>
      </c>
      <c r="C349" t="s">
        <v>14</v>
      </c>
      <c r="D349">
        <v>159</v>
      </c>
      <c r="E349" s="9" t="s">
        <v>11</v>
      </c>
      <c r="F349" s="10">
        <v>45027</v>
      </c>
      <c r="G349">
        <v>3486</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370</v>
      </c>
      <c r="C350" t="s">
        <v>13</v>
      </c>
      <c r="D350">
        <v>25</v>
      </c>
      <c r="E350" s="9" t="s">
        <v>8</v>
      </c>
      <c r="F350" s="10">
        <v>45027</v>
      </c>
      <c r="G350">
        <v>6225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371</v>
      </c>
      <c r="C351" t="s">
        <v>14</v>
      </c>
      <c r="D351">
        <v>53</v>
      </c>
      <c r="E351" s="9" t="s">
        <v>4</v>
      </c>
      <c r="F351" s="10">
        <v>45028</v>
      </c>
      <c r="G351">
        <v>1909</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372</v>
      </c>
      <c r="C352" t="s">
        <v>14</v>
      </c>
      <c r="D352">
        <v>89</v>
      </c>
      <c r="E352" s="9" t="s">
        <v>8</v>
      </c>
      <c r="F352" s="10">
        <v>45028</v>
      </c>
      <c r="G352">
        <v>16600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373</v>
      </c>
      <c r="C353" t="s">
        <v>19</v>
      </c>
      <c r="D353">
        <v>73</v>
      </c>
      <c r="E353" s="9" t="s">
        <v>7</v>
      </c>
      <c r="F353" s="10">
        <v>45029</v>
      </c>
      <c r="G353">
        <v>3735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374</v>
      </c>
      <c r="C354" t="s">
        <v>17</v>
      </c>
      <c r="D354">
        <v>50</v>
      </c>
      <c r="E354" s="9" t="s">
        <v>7</v>
      </c>
      <c r="F354" s="10">
        <v>45029</v>
      </c>
      <c r="G354">
        <v>8715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375</v>
      </c>
      <c r="C355" t="s">
        <v>6</v>
      </c>
      <c r="D355">
        <v>98</v>
      </c>
      <c r="E355" s="9" t="s">
        <v>7</v>
      </c>
      <c r="F355" s="10">
        <v>45029</v>
      </c>
      <c r="G355">
        <v>1826</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376</v>
      </c>
      <c r="C356" t="s">
        <v>12</v>
      </c>
      <c r="D356">
        <v>114</v>
      </c>
      <c r="E356" s="9" t="s">
        <v>11</v>
      </c>
      <c r="F356" s="10">
        <v>45030</v>
      </c>
      <c r="G356">
        <v>10458</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377</v>
      </c>
      <c r="C357" t="s">
        <v>5</v>
      </c>
      <c r="D357">
        <v>67</v>
      </c>
      <c r="E357" s="9" t="s">
        <v>11</v>
      </c>
      <c r="F357" s="10">
        <v>45030</v>
      </c>
      <c r="G357">
        <v>2905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378</v>
      </c>
      <c r="C358" t="s">
        <v>21</v>
      </c>
      <c r="D358">
        <v>91</v>
      </c>
      <c r="E358" s="9" t="s">
        <v>7</v>
      </c>
      <c r="F358" s="10">
        <v>45030</v>
      </c>
      <c r="G358">
        <v>6972</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379</v>
      </c>
      <c r="C359" t="s">
        <v>3</v>
      </c>
      <c r="D359">
        <v>67</v>
      </c>
      <c r="E359" s="9" t="s">
        <v>7</v>
      </c>
      <c r="F359" s="10">
        <v>45031</v>
      </c>
      <c r="G359">
        <v>14276</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380</v>
      </c>
      <c r="C360" t="s">
        <v>12</v>
      </c>
      <c r="D360">
        <v>139</v>
      </c>
      <c r="E360" s="9" t="s">
        <v>8</v>
      </c>
      <c r="F360" s="10">
        <v>45031</v>
      </c>
      <c r="G360">
        <v>9462</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381</v>
      </c>
      <c r="C361" t="s">
        <v>3</v>
      </c>
      <c r="D361">
        <v>102</v>
      </c>
      <c r="E361" s="9" t="s">
        <v>8</v>
      </c>
      <c r="F361" s="10">
        <v>45031</v>
      </c>
      <c r="G361">
        <v>4980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382</v>
      </c>
      <c r="C362" t="s">
        <v>15</v>
      </c>
      <c r="D362">
        <v>108</v>
      </c>
      <c r="E362" s="9" t="s">
        <v>9</v>
      </c>
      <c r="F362" s="10">
        <v>45031</v>
      </c>
      <c r="G362">
        <v>2158</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383</v>
      </c>
      <c r="C363" t="s">
        <v>13</v>
      </c>
      <c r="D363">
        <v>66</v>
      </c>
      <c r="E363" s="9" t="s">
        <v>7</v>
      </c>
      <c r="F363" s="10">
        <v>45031</v>
      </c>
      <c r="G363">
        <v>17430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384</v>
      </c>
      <c r="C364" t="s">
        <v>20</v>
      </c>
      <c r="D364">
        <v>85</v>
      </c>
      <c r="E364" s="9" t="s">
        <v>8</v>
      </c>
      <c r="F364" s="10">
        <v>45031</v>
      </c>
      <c r="G364">
        <v>10707</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385</v>
      </c>
      <c r="C365" t="s">
        <v>5</v>
      </c>
      <c r="D365">
        <v>55</v>
      </c>
      <c r="E365" s="9" t="s">
        <v>9</v>
      </c>
      <c r="F365" s="10">
        <v>45031</v>
      </c>
      <c r="G365">
        <v>17845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386</v>
      </c>
      <c r="C366" t="s">
        <v>15</v>
      </c>
      <c r="D366">
        <v>17</v>
      </c>
      <c r="E366" s="9" t="s">
        <v>4</v>
      </c>
      <c r="F366" s="10">
        <v>45031</v>
      </c>
      <c r="G366">
        <v>5727</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387</v>
      </c>
      <c r="C367" t="s">
        <v>5</v>
      </c>
      <c r="D367">
        <v>128</v>
      </c>
      <c r="E367" s="9" t="s">
        <v>4</v>
      </c>
      <c r="F367" s="10">
        <v>45031</v>
      </c>
      <c r="G367">
        <v>11620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388</v>
      </c>
      <c r="C368" t="s">
        <v>17</v>
      </c>
      <c r="D368">
        <v>45</v>
      </c>
      <c r="E368" s="9" t="s">
        <v>9</v>
      </c>
      <c r="F368" s="10">
        <v>45032</v>
      </c>
      <c r="G368">
        <v>12948</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389</v>
      </c>
      <c r="C369" t="s">
        <v>15</v>
      </c>
      <c r="D369">
        <v>41</v>
      </c>
      <c r="E369" s="9" t="s">
        <v>4</v>
      </c>
      <c r="F369" s="10">
        <v>45032</v>
      </c>
      <c r="G369">
        <v>13612</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390</v>
      </c>
      <c r="C370" t="s">
        <v>22</v>
      </c>
      <c r="D370">
        <v>49</v>
      </c>
      <c r="E370" s="9" t="s">
        <v>4</v>
      </c>
      <c r="F370" s="10">
        <v>45032</v>
      </c>
      <c r="G370">
        <v>16185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391</v>
      </c>
      <c r="C371" t="s">
        <v>10</v>
      </c>
      <c r="D371">
        <v>21</v>
      </c>
      <c r="E371" s="9" t="s">
        <v>11</v>
      </c>
      <c r="F371" s="10">
        <v>45032</v>
      </c>
      <c r="G371">
        <v>6142</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392</v>
      </c>
      <c r="C372" t="s">
        <v>14</v>
      </c>
      <c r="D372">
        <v>133</v>
      </c>
      <c r="E372" s="9" t="s">
        <v>9</v>
      </c>
      <c r="F372" s="10">
        <v>45032</v>
      </c>
      <c r="G372">
        <v>8300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393</v>
      </c>
      <c r="C373" t="s">
        <v>18</v>
      </c>
      <c r="D373">
        <v>135</v>
      </c>
      <c r="E373" s="9" t="s">
        <v>7</v>
      </c>
      <c r="F373" s="10">
        <v>45032</v>
      </c>
      <c r="G373">
        <v>15355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394</v>
      </c>
      <c r="C374" t="s">
        <v>12</v>
      </c>
      <c r="D374">
        <v>69</v>
      </c>
      <c r="E374" s="9" t="s">
        <v>9</v>
      </c>
      <c r="F374" s="10">
        <v>45032</v>
      </c>
      <c r="G374">
        <v>10790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395</v>
      </c>
      <c r="C375" t="s">
        <v>16</v>
      </c>
      <c r="D375">
        <v>110</v>
      </c>
      <c r="E375" s="9" t="s">
        <v>11</v>
      </c>
      <c r="F375" s="10">
        <v>45033</v>
      </c>
      <c r="G375">
        <v>1743</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396</v>
      </c>
      <c r="C376" t="s">
        <v>3</v>
      </c>
      <c r="D376">
        <v>64</v>
      </c>
      <c r="E376" s="9" t="s">
        <v>8</v>
      </c>
      <c r="F376" s="10">
        <v>45033</v>
      </c>
      <c r="G376">
        <v>7304</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397</v>
      </c>
      <c r="C377" t="s">
        <v>21</v>
      </c>
      <c r="D377">
        <v>105</v>
      </c>
      <c r="E377" s="9" t="s">
        <v>4</v>
      </c>
      <c r="F377" s="10">
        <v>45033</v>
      </c>
      <c r="G377">
        <v>2905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398</v>
      </c>
      <c r="C378" t="s">
        <v>3</v>
      </c>
      <c r="D378">
        <v>165</v>
      </c>
      <c r="E378" s="9" t="s">
        <v>7</v>
      </c>
      <c r="F378" s="10">
        <v>45033</v>
      </c>
      <c r="G378">
        <v>5644</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399</v>
      </c>
      <c r="C379" t="s">
        <v>17</v>
      </c>
      <c r="D379">
        <v>125</v>
      </c>
      <c r="E379" s="9" t="s">
        <v>7</v>
      </c>
      <c r="F379" s="10">
        <v>45033</v>
      </c>
      <c r="G379">
        <v>12284</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400</v>
      </c>
      <c r="C380" t="s">
        <v>21</v>
      </c>
      <c r="D380">
        <v>88</v>
      </c>
      <c r="E380" s="9" t="s">
        <v>8</v>
      </c>
      <c r="F380" s="10">
        <v>45034</v>
      </c>
      <c r="G380">
        <v>6723</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401</v>
      </c>
      <c r="C381" t="s">
        <v>12</v>
      </c>
      <c r="D381">
        <v>6</v>
      </c>
      <c r="E381" s="9" t="s">
        <v>8</v>
      </c>
      <c r="F381" s="10">
        <v>45034</v>
      </c>
      <c r="G381">
        <v>6225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402</v>
      </c>
      <c r="C382" t="s">
        <v>20</v>
      </c>
      <c r="D382">
        <v>69</v>
      </c>
      <c r="E382" s="9" t="s">
        <v>9</v>
      </c>
      <c r="F382" s="10">
        <v>45035</v>
      </c>
      <c r="G382">
        <v>2656</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403</v>
      </c>
      <c r="C383" t="s">
        <v>15</v>
      </c>
      <c r="D383">
        <v>107</v>
      </c>
      <c r="E383" s="9" t="s">
        <v>9</v>
      </c>
      <c r="F383" s="10">
        <v>45035</v>
      </c>
      <c r="G383">
        <v>12948</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404</v>
      </c>
      <c r="C384" t="s">
        <v>10</v>
      </c>
      <c r="D384">
        <v>90</v>
      </c>
      <c r="E384" s="9" t="s">
        <v>7</v>
      </c>
      <c r="F384" s="10">
        <v>45035</v>
      </c>
      <c r="G384">
        <v>8217</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405</v>
      </c>
      <c r="C385" t="s">
        <v>18</v>
      </c>
      <c r="D385">
        <v>120</v>
      </c>
      <c r="E385" s="9" t="s">
        <v>4</v>
      </c>
      <c r="F385" s="10">
        <v>45035</v>
      </c>
      <c r="G385">
        <v>2158</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406</v>
      </c>
      <c r="C386" t="s">
        <v>6</v>
      </c>
      <c r="D386">
        <v>47</v>
      </c>
      <c r="E386" s="9" t="s">
        <v>9</v>
      </c>
      <c r="F386" s="10">
        <v>45035</v>
      </c>
      <c r="G386">
        <v>6972</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407</v>
      </c>
      <c r="C387" t="s">
        <v>19</v>
      </c>
      <c r="D387">
        <v>60</v>
      </c>
      <c r="E387" s="9" t="s">
        <v>4</v>
      </c>
      <c r="F387" s="10">
        <v>45035</v>
      </c>
      <c r="G387">
        <v>6972</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408</v>
      </c>
      <c r="C388" t="s">
        <v>5</v>
      </c>
      <c r="D388">
        <v>64</v>
      </c>
      <c r="E388" s="9" t="s">
        <v>7</v>
      </c>
      <c r="F388" s="10">
        <v>45035</v>
      </c>
      <c r="G388">
        <v>14110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409</v>
      </c>
      <c r="C389" t="s">
        <v>3</v>
      </c>
      <c r="D389">
        <v>62</v>
      </c>
      <c r="E389" s="9" t="s">
        <v>9</v>
      </c>
      <c r="F389" s="10">
        <v>45035</v>
      </c>
      <c r="G389">
        <v>2905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410</v>
      </c>
      <c r="C390" t="s">
        <v>16</v>
      </c>
      <c r="D390">
        <v>88</v>
      </c>
      <c r="E390" s="9" t="s">
        <v>9</v>
      </c>
      <c r="F390" s="10">
        <v>45036</v>
      </c>
      <c r="G390">
        <v>2905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411</v>
      </c>
      <c r="C391" t="s">
        <v>17</v>
      </c>
      <c r="D391">
        <v>116</v>
      </c>
      <c r="E391" s="9" t="s">
        <v>9</v>
      </c>
      <c r="F391" s="10">
        <v>45036</v>
      </c>
      <c r="G391">
        <v>10956</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412</v>
      </c>
      <c r="C392" t="s">
        <v>10</v>
      </c>
      <c r="D392">
        <v>82</v>
      </c>
      <c r="E392" s="9" t="s">
        <v>8</v>
      </c>
      <c r="F392" s="10">
        <v>45037</v>
      </c>
      <c r="G392">
        <v>11952</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413</v>
      </c>
      <c r="C393" t="s">
        <v>3</v>
      </c>
      <c r="D393">
        <v>99</v>
      </c>
      <c r="E393" s="9" t="s">
        <v>7</v>
      </c>
      <c r="F393" s="10">
        <v>45037</v>
      </c>
      <c r="G393">
        <v>3984</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414</v>
      </c>
      <c r="C394" t="s">
        <v>3</v>
      </c>
      <c r="D394">
        <v>55</v>
      </c>
      <c r="E394" s="9" t="s">
        <v>8</v>
      </c>
      <c r="F394" s="10">
        <v>45037</v>
      </c>
      <c r="G394">
        <v>16600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415</v>
      </c>
      <c r="C395" t="s">
        <v>5</v>
      </c>
      <c r="D395">
        <v>61</v>
      </c>
      <c r="E395" s="9" t="s">
        <v>4</v>
      </c>
      <c r="F395" s="10">
        <v>45037</v>
      </c>
      <c r="G395">
        <v>3154</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416</v>
      </c>
      <c r="C396" t="s">
        <v>17</v>
      </c>
      <c r="D396">
        <v>36</v>
      </c>
      <c r="E396" s="9" t="s">
        <v>11</v>
      </c>
      <c r="F396" s="10">
        <v>45037</v>
      </c>
      <c r="G396">
        <v>6723</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417</v>
      </c>
      <c r="C397" t="s">
        <v>10</v>
      </c>
      <c r="D397">
        <v>123</v>
      </c>
      <c r="E397" s="9" t="s">
        <v>9</v>
      </c>
      <c r="F397" s="10">
        <v>45037</v>
      </c>
      <c r="G397">
        <v>9960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418</v>
      </c>
      <c r="C398" t="s">
        <v>22</v>
      </c>
      <c r="D398">
        <v>24</v>
      </c>
      <c r="E398" s="9" t="s">
        <v>4</v>
      </c>
      <c r="F398" s="10">
        <v>45037</v>
      </c>
      <c r="G398">
        <v>6142</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419</v>
      </c>
      <c r="C399" t="s">
        <v>10</v>
      </c>
      <c r="D399">
        <v>43</v>
      </c>
      <c r="E399" s="9" t="s">
        <v>9</v>
      </c>
      <c r="F399" s="10">
        <v>45038</v>
      </c>
      <c r="G399">
        <v>10624</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420</v>
      </c>
      <c r="C400" t="s">
        <v>19</v>
      </c>
      <c r="D400">
        <v>95</v>
      </c>
      <c r="E400" s="9" t="s">
        <v>7</v>
      </c>
      <c r="F400" s="10">
        <v>45038</v>
      </c>
      <c r="G400">
        <v>1743</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421</v>
      </c>
      <c r="C401" t="s">
        <v>3</v>
      </c>
      <c r="D401">
        <v>53</v>
      </c>
      <c r="E401" s="9" t="s">
        <v>9</v>
      </c>
      <c r="F401" s="10">
        <v>45038</v>
      </c>
      <c r="G401">
        <v>9130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422</v>
      </c>
      <c r="C402" t="s">
        <v>10</v>
      </c>
      <c r="D402">
        <v>113</v>
      </c>
      <c r="E402" s="9" t="s">
        <v>9</v>
      </c>
      <c r="F402" s="10">
        <v>45038</v>
      </c>
      <c r="G402">
        <v>12035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423</v>
      </c>
      <c r="C403" t="s">
        <v>3</v>
      </c>
      <c r="D403">
        <v>89</v>
      </c>
      <c r="E403" s="9" t="s">
        <v>11</v>
      </c>
      <c r="F403" s="10">
        <v>45038</v>
      </c>
      <c r="G403">
        <v>10707</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424</v>
      </c>
      <c r="C404" t="s">
        <v>16</v>
      </c>
      <c r="D404">
        <v>84</v>
      </c>
      <c r="E404" s="9" t="s">
        <v>8</v>
      </c>
      <c r="F404" s="10">
        <v>45038</v>
      </c>
      <c r="G404">
        <v>12948</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425</v>
      </c>
      <c r="C405" t="s">
        <v>22</v>
      </c>
      <c r="D405">
        <v>130</v>
      </c>
      <c r="E405" s="9" t="s">
        <v>9</v>
      </c>
      <c r="F405" s="10">
        <v>45039</v>
      </c>
      <c r="G405">
        <v>9960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426</v>
      </c>
      <c r="C406" t="s">
        <v>19</v>
      </c>
      <c r="D406">
        <v>163</v>
      </c>
      <c r="E406" s="9" t="s">
        <v>11</v>
      </c>
      <c r="F406" s="10">
        <v>45039</v>
      </c>
      <c r="G406">
        <v>5146</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427</v>
      </c>
      <c r="C407" t="s">
        <v>20</v>
      </c>
      <c r="D407">
        <v>127</v>
      </c>
      <c r="E407" s="9" t="s">
        <v>9</v>
      </c>
      <c r="F407" s="10">
        <v>45039</v>
      </c>
      <c r="G407">
        <v>13280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428</v>
      </c>
      <c r="C408" t="s">
        <v>10</v>
      </c>
      <c r="D408">
        <v>50</v>
      </c>
      <c r="E408" s="9" t="s">
        <v>9</v>
      </c>
      <c r="F408" s="10">
        <v>45039</v>
      </c>
      <c r="G408">
        <v>4648</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429</v>
      </c>
      <c r="C409" t="s">
        <v>13</v>
      </c>
      <c r="D409">
        <v>88</v>
      </c>
      <c r="E409" s="9" t="s">
        <v>4</v>
      </c>
      <c r="F409" s="10">
        <v>45039</v>
      </c>
      <c r="G409">
        <v>5976</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430</v>
      </c>
      <c r="C410" t="s">
        <v>10</v>
      </c>
      <c r="D410">
        <v>139</v>
      </c>
      <c r="E410" s="9" t="s">
        <v>7</v>
      </c>
      <c r="F410" s="10">
        <v>45040</v>
      </c>
      <c r="G410">
        <v>6723</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431</v>
      </c>
      <c r="C411" t="s">
        <v>19</v>
      </c>
      <c r="D411">
        <v>111</v>
      </c>
      <c r="E411" s="9" t="s">
        <v>9</v>
      </c>
      <c r="F411" s="10">
        <v>45040</v>
      </c>
      <c r="G411">
        <v>11952</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432</v>
      </c>
      <c r="C412" t="s">
        <v>21</v>
      </c>
      <c r="D412">
        <v>115</v>
      </c>
      <c r="E412" s="9" t="s">
        <v>7</v>
      </c>
      <c r="F412" s="10">
        <v>45040</v>
      </c>
      <c r="G412">
        <v>9213</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433</v>
      </c>
      <c r="C413" t="s">
        <v>3</v>
      </c>
      <c r="D413">
        <v>26</v>
      </c>
      <c r="E413" s="9" t="s">
        <v>11</v>
      </c>
      <c r="F413" s="10">
        <v>45040</v>
      </c>
      <c r="G413">
        <v>3569</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434</v>
      </c>
      <c r="C414" t="s">
        <v>16</v>
      </c>
      <c r="D414">
        <v>131</v>
      </c>
      <c r="E414" s="9" t="s">
        <v>4</v>
      </c>
      <c r="F414" s="10">
        <v>45040</v>
      </c>
      <c r="G414">
        <v>3403</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435</v>
      </c>
      <c r="C415" t="s">
        <v>21</v>
      </c>
      <c r="D415">
        <v>27</v>
      </c>
      <c r="E415" s="9" t="s">
        <v>4</v>
      </c>
      <c r="F415" s="10">
        <v>45040</v>
      </c>
      <c r="G415">
        <v>6142</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436</v>
      </c>
      <c r="C416" t="s">
        <v>14</v>
      </c>
      <c r="D416">
        <v>75</v>
      </c>
      <c r="E416" s="9" t="s">
        <v>9</v>
      </c>
      <c r="F416" s="10">
        <v>45040</v>
      </c>
      <c r="G416">
        <v>3569</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437</v>
      </c>
      <c r="C417" t="s">
        <v>5</v>
      </c>
      <c r="D417">
        <v>123</v>
      </c>
      <c r="E417" s="9" t="s">
        <v>4</v>
      </c>
      <c r="F417" s="10">
        <v>45040</v>
      </c>
      <c r="G417">
        <v>10624</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438</v>
      </c>
      <c r="C418" t="s">
        <v>18</v>
      </c>
      <c r="D418">
        <v>129</v>
      </c>
      <c r="E418" s="9" t="s">
        <v>4</v>
      </c>
      <c r="F418" s="10">
        <v>45041</v>
      </c>
      <c r="G418">
        <v>11952</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439</v>
      </c>
      <c r="C419" t="s">
        <v>14</v>
      </c>
      <c r="D419">
        <v>124</v>
      </c>
      <c r="E419" s="9" t="s">
        <v>7</v>
      </c>
      <c r="F419" s="10">
        <v>45041</v>
      </c>
      <c r="G419">
        <v>10956</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440</v>
      </c>
      <c r="C420" t="s">
        <v>21</v>
      </c>
      <c r="D420">
        <v>108</v>
      </c>
      <c r="E420" s="9" t="s">
        <v>7</v>
      </c>
      <c r="F420" s="10">
        <v>45041</v>
      </c>
      <c r="G420">
        <v>14940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441</v>
      </c>
      <c r="C421" t="s">
        <v>6</v>
      </c>
      <c r="D421">
        <v>15</v>
      </c>
      <c r="E421" s="9" t="s">
        <v>7</v>
      </c>
      <c r="F421" s="10">
        <v>45041</v>
      </c>
      <c r="G421">
        <v>2573</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442</v>
      </c>
      <c r="C422" t="s">
        <v>21</v>
      </c>
      <c r="D422">
        <v>66</v>
      </c>
      <c r="E422" s="9" t="s">
        <v>7</v>
      </c>
      <c r="F422" s="10">
        <v>45041</v>
      </c>
      <c r="G422">
        <v>8466</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443</v>
      </c>
      <c r="C423" t="s">
        <v>13</v>
      </c>
      <c r="D423">
        <v>126</v>
      </c>
      <c r="E423" s="9" t="s">
        <v>9</v>
      </c>
      <c r="F423" s="10">
        <v>45042</v>
      </c>
      <c r="G423">
        <v>14525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444</v>
      </c>
      <c r="C424" t="s">
        <v>14</v>
      </c>
      <c r="D424">
        <v>26</v>
      </c>
      <c r="E424" s="9" t="s">
        <v>8</v>
      </c>
      <c r="F424" s="10">
        <v>45042</v>
      </c>
      <c r="G424">
        <v>7221</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445</v>
      </c>
      <c r="C425" t="s">
        <v>22</v>
      </c>
      <c r="D425">
        <v>105</v>
      </c>
      <c r="E425" s="9" t="s">
        <v>9</v>
      </c>
      <c r="F425" s="10">
        <v>45042</v>
      </c>
      <c r="G425">
        <v>5478</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446</v>
      </c>
      <c r="C426" t="s">
        <v>22</v>
      </c>
      <c r="D426">
        <v>31</v>
      </c>
      <c r="E426" s="9" t="s">
        <v>9</v>
      </c>
      <c r="F426" s="10">
        <v>45042</v>
      </c>
      <c r="G426">
        <v>2075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447</v>
      </c>
      <c r="C427" t="s">
        <v>21</v>
      </c>
      <c r="D427">
        <v>109</v>
      </c>
      <c r="E427" s="9" t="s">
        <v>7</v>
      </c>
      <c r="F427" s="10">
        <v>45042</v>
      </c>
      <c r="G427">
        <v>10458</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448</v>
      </c>
      <c r="C428" t="s">
        <v>18</v>
      </c>
      <c r="D428">
        <v>113</v>
      </c>
      <c r="E428" s="9" t="s">
        <v>11</v>
      </c>
      <c r="F428" s="10">
        <v>45043</v>
      </c>
      <c r="G428">
        <v>3486</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449</v>
      </c>
      <c r="C429" t="s">
        <v>13</v>
      </c>
      <c r="D429">
        <v>101</v>
      </c>
      <c r="E429" s="9" t="s">
        <v>8</v>
      </c>
      <c r="F429" s="10">
        <v>45043</v>
      </c>
      <c r="G429">
        <v>18675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450</v>
      </c>
      <c r="C430" t="s">
        <v>19</v>
      </c>
      <c r="D430">
        <v>156</v>
      </c>
      <c r="E430" s="9" t="s">
        <v>8</v>
      </c>
      <c r="F430" s="10">
        <v>45043</v>
      </c>
      <c r="G430">
        <v>3486</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451</v>
      </c>
      <c r="C431" t="s">
        <v>21</v>
      </c>
      <c r="D431">
        <v>145</v>
      </c>
      <c r="E431" s="9" t="s">
        <v>11</v>
      </c>
      <c r="F431" s="10">
        <v>45044</v>
      </c>
      <c r="G431">
        <v>9130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452</v>
      </c>
      <c r="C432" t="s">
        <v>5</v>
      </c>
      <c r="D432">
        <v>36</v>
      </c>
      <c r="E432" s="9" t="s">
        <v>7</v>
      </c>
      <c r="F432" s="10">
        <v>45044</v>
      </c>
      <c r="G432">
        <v>18675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453</v>
      </c>
      <c r="C433" t="s">
        <v>22</v>
      </c>
      <c r="D433">
        <v>135</v>
      </c>
      <c r="E433" s="9" t="s">
        <v>4</v>
      </c>
      <c r="F433" s="10">
        <v>45045</v>
      </c>
      <c r="G433">
        <v>10375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454</v>
      </c>
      <c r="C434" t="s">
        <v>13</v>
      </c>
      <c r="D434">
        <v>81</v>
      </c>
      <c r="E434" s="9" t="s">
        <v>7</v>
      </c>
      <c r="F434" s="10">
        <v>45045</v>
      </c>
      <c r="G434">
        <v>6474</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455</v>
      </c>
      <c r="C435" t="s">
        <v>13</v>
      </c>
      <c r="D435">
        <v>81</v>
      </c>
      <c r="E435" s="9" t="s">
        <v>11</v>
      </c>
      <c r="F435" s="10">
        <v>45045</v>
      </c>
      <c r="G435">
        <v>3320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456</v>
      </c>
      <c r="C436" t="s">
        <v>20</v>
      </c>
      <c r="D436">
        <v>93</v>
      </c>
      <c r="E436" s="9" t="s">
        <v>9</v>
      </c>
      <c r="F436" s="10">
        <v>45045</v>
      </c>
      <c r="G436">
        <v>12450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457</v>
      </c>
      <c r="C437" t="s">
        <v>21</v>
      </c>
      <c r="D437">
        <v>14</v>
      </c>
      <c r="E437" s="9" t="s">
        <v>7</v>
      </c>
      <c r="F437" s="10">
        <v>45045</v>
      </c>
      <c r="G437">
        <v>7968</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458</v>
      </c>
      <c r="C438" t="s">
        <v>22</v>
      </c>
      <c r="D438">
        <v>95</v>
      </c>
      <c r="E438" s="9" t="s">
        <v>11</v>
      </c>
      <c r="F438" s="10">
        <v>45046</v>
      </c>
      <c r="G438">
        <v>6225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459</v>
      </c>
      <c r="C439" t="s">
        <v>20</v>
      </c>
      <c r="D439">
        <v>81</v>
      </c>
      <c r="E439" s="9" t="s">
        <v>11</v>
      </c>
      <c r="F439" s="10">
        <v>45046</v>
      </c>
      <c r="G439">
        <v>4980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460</v>
      </c>
      <c r="C440" t="s">
        <v>3</v>
      </c>
      <c r="D440">
        <v>60</v>
      </c>
      <c r="E440" s="9" t="s">
        <v>7</v>
      </c>
      <c r="F440" s="10">
        <v>45047</v>
      </c>
      <c r="G440">
        <v>3403</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461</v>
      </c>
      <c r="C441" t="s">
        <v>12</v>
      </c>
      <c r="D441">
        <v>137</v>
      </c>
      <c r="E441" s="9" t="s">
        <v>9</v>
      </c>
      <c r="F441" s="10">
        <v>45047</v>
      </c>
      <c r="G441">
        <v>1660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462</v>
      </c>
      <c r="C442" t="s">
        <v>10</v>
      </c>
      <c r="D442">
        <v>112</v>
      </c>
      <c r="E442" s="9" t="s">
        <v>4</v>
      </c>
      <c r="F442" s="10">
        <v>45047</v>
      </c>
      <c r="G442">
        <v>6972</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463</v>
      </c>
      <c r="C443" t="s">
        <v>22</v>
      </c>
      <c r="D443">
        <v>76</v>
      </c>
      <c r="E443" s="9" t="s">
        <v>8</v>
      </c>
      <c r="F443" s="10">
        <v>45047</v>
      </c>
      <c r="G443">
        <v>11620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464</v>
      </c>
      <c r="C444" t="s">
        <v>17</v>
      </c>
      <c r="D444">
        <v>73</v>
      </c>
      <c r="E444" s="9" t="s">
        <v>7</v>
      </c>
      <c r="F444" s="10">
        <v>45047</v>
      </c>
      <c r="G444">
        <v>5478</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465</v>
      </c>
      <c r="C445" t="s">
        <v>16</v>
      </c>
      <c r="D445">
        <v>119</v>
      </c>
      <c r="E445" s="9" t="s">
        <v>9</v>
      </c>
      <c r="F445" s="10">
        <v>45047</v>
      </c>
      <c r="G445">
        <v>8715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466</v>
      </c>
      <c r="C446" t="s">
        <v>18</v>
      </c>
      <c r="D446">
        <v>135</v>
      </c>
      <c r="E446" s="9" t="s">
        <v>11</v>
      </c>
      <c r="F446" s="10">
        <v>45048</v>
      </c>
      <c r="G446">
        <v>8632</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467</v>
      </c>
      <c r="C447" t="s">
        <v>12</v>
      </c>
      <c r="D447">
        <v>41</v>
      </c>
      <c r="E447" s="9" t="s">
        <v>4</v>
      </c>
      <c r="F447" s="10">
        <v>45048</v>
      </c>
      <c r="G447">
        <v>10209</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468</v>
      </c>
      <c r="C448" t="s">
        <v>21</v>
      </c>
      <c r="D448">
        <v>35</v>
      </c>
      <c r="E448" s="9" t="s">
        <v>11</v>
      </c>
      <c r="F448" s="10">
        <v>45049</v>
      </c>
      <c r="G448">
        <v>17845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469</v>
      </c>
      <c r="C449" t="s">
        <v>18</v>
      </c>
      <c r="D449">
        <v>96</v>
      </c>
      <c r="E449" s="9" t="s">
        <v>7</v>
      </c>
      <c r="F449" s="10">
        <v>45049</v>
      </c>
      <c r="G449">
        <v>3818</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470</v>
      </c>
      <c r="C450" t="s">
        <v>20</v>
      </c>
      <c r="D450">
        <v>61</v>
      </c>
      <c r="E450" s="9" t="s">
        <v>4</v>
      </c>
      <c r="F450" s="10">
        <v>45049</v>
      </c>
      <c r="G450">
        <v>9545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471</v>
      </c>
      <c r="C451" t="s">
        <v>18</v>
      </c>
      <c r="D451">
        <v>91</v>
      </c>
      <c r="E451" s="9" t="s">
        <v>4</v>
      </c>
      <c r="F451" s="10">
        <v>45049</v>
      </c>
      <c r="G451">
        <v>10292</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472</v>
      </c>
      <c r="C452" t="s">
        <v>15</v>
      </c>
      <c r="D452">
        <v>30</v>
      </c>
      <c r="E452" s="9" t="s">
        <v>4</v>
      </c>
      <c r="F452" s="10">
        <v>45050</v>
      </c>
      <c r="G452">
        <v>17015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473</v>
      </c>
      <c r="C453" t="s">
        <v>3</v>
      </c>
      <c r="D453">
        <v>111</v>
      </c>
      <c r="E453" s="9" t="s">
        <v>9</v>
      </c>
      <c r="F453" s="10">
        <v>45050</v>
      </c>
      <c r="G453">
        <v>7470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474</v>
      </c>
      <c r="C454" t="s">
        <v>20</v>
      </c>
      <c r="D454">
        <v>81</v>
      </c>
      <c r="E454" s="9" t="s">
        <v>7</v>
      </c>
      <c r="F454" s="10">
        <v>45050</v>
      </c>
      <c r="G454">
        <v>7636</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475</v>
      </c>
      <c r="C455" t="s">
        <v>22</v>
      </c>
      <c r="D455">
        <v>40</v>
      </c>
      <c r="E455" s="9" t="s">
        <v>11</v>
      </c>
      <c r="F455" s="10">
        <v>45052</v>
      </c>
      <c r="G455">
        <v>8964</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476</v>
      </c>
      <c r="C456" t="s">
        <v>3</v>
      </c>
      <c r="D456">
        <v>143</v>
      </c>
      <c r="E456" s="9" t="s">
        <v>11</v>
      </c>
      <c r="F456" s="10">
        <v>45052</v>
      </c>
      <c r="G456">
        <v>4482</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477</v>
      </c>
      <c r="C457" t="s">
        <v>22</v>
      </c>
      <c r="D457">
        <v>70</v>
      </c>
      <c r="E457" s="9" t="s">
        <v>11</v>
      </c>
      <c r="F457" s="10">
        <v>45053</v>
      </c>
      <c r="G457">
        <v>3652</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478</v>
      </c>
      <c r="C458" t="s">
        <v>17</v>
      </c>
      <c r="D458">
        <v>137</v>
      </c>
      <c r="E458" s="9" t="s">
        <v>11</v>
      </c>
      <c r="F458" s="10">
        <v>45053</v>
      </c>
      <c r="G458">
        <v>3652</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479</v>
      </c>
      <c r="C459" t="s">
        <v>18</v>
      </c>
      <c r="D459">
        <v>52</v>
      </c>
      <c r="E459" s="9" t="s">
        <v>7</v>
      </c>
      <c r="F459" s="10">
        <v>45054</v>
      </c>
      <c r="G459">
        <v>3071</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480</v>
      </c>
      <c r="C460" t="s">
        <v>10</v>
      </c>
      <c r="D460">
        <v>31</v>
      </c>
      <c r="E460" s="9" t="s">
        <v>9</v>
      </c>
      <c r="F460" s="10">
        <v>45054</v>
      </c>
      <c r="G460">
        <v>14940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481</v>
      </c>
      <c r="C461" t="s">
        <v>18</v>
      </c>
      <c r="D461">
        <v>114</v>
      </c>
      <c r="E461" s="9" t="s">
        <v>4</v>
      </c>
      <c r="F461" s="10">
        <v>45054</v>
      </c>
      <c r="G461">
        <v>8715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482</v>
      </c>
      <c r="C462" t="s">
        <v>17</v>
      </c>
      <c r="D462">
        <v>73</v>
      </c>
      <c r="E462" s="9" t="s">
        <v>8</v>
      </c>
      <c r="F462" s="10">
        <v>45054</v>
      </c>
      <c r="G462">
        <v>7221</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483</v>
      </c>
      <c r="C463" t="s">
        <v>20</v>
      </c>
      <c r="D463">
        <v>25</v>
      </c>
      <c r="E463" s="9" t="s">
        <v>9</v>
      </c>
      <c r="F463" s="10">
        <v>45054</v>
      </c>
      <c r="G463">
        <v>4316</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484</v>
      </c>
      <c r="C464" t="s">
        <v>6</v>
      </c>
      <c r="D464">
        <v>44</v>
      </c>
      <c r="E464" s="9" t="s">
        <v>4</v>
      </c>
      <c r="F464" s="10">
        <v>45054</v>
      </c>
      <c r="G464">
        <v>5229</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485</v>
      </c>
      <c r="C465" t="s">
        <v>5</v>
      </c>
      <c r="D465">
        <v>34</v>
      </c>
      <c r="E465" s="9" t="s">
        <v>7</v>
      </c>
      <c r="F465" s="10">
        <v>45055</v>
      </c>
      <c r="G465">
        <v>16185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486</v>
      </c>
      <c r="C466" t="s">
        <v>3</v>
      </c>
      <c r="D466">
        <v>89</v>
      </c>
      <c r="E466" s="9" t="s">
        <v>11</v>
      </c>
      <c r="F466" s="10">
        <v>45056</v>
      </c>
      <c r="G466">
        <v>14608</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487</v>
      </c>
      <c r="C467" t="s">
        <v>16</v>
      </c>
      <c r="D467">
        <v>54</v>
      </c>
      <c r="E467" s="9" t="s">
        <v>9</v>
      </c>
      <c r="F467" s="10">
        <v>45057</v>
      </c>
      <c r="G467">
        <v>2573</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488</v>
      </c>
      <c r="C468" t="s">
        <v>21</v>
      </c>
      <c r="D468">
        <v>25</v>
      </c>
      <c r="E468" s="9" t="s">
        <v>9</v>
      </c>
      <c r="F468" s="10">
        <v>45058</v>
      </c>
      <c r="G468">
        <v>2241</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489</v>
      </c>
      <c r="C469" t="s">
        <v>12</v>
      </c>
      <c r="D469">
        <v>91</v>
      </c>
      <c r="E469" s="9" t="s">
        <v>11</v>
      </c>
      <c r="F469" s="10">
        <v>45058</v>
      </c>
      <c r="G469">
        <v>6308</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490</v>
      </c>
      <c r="C470" t="s">
        <v>6</v>
      </c>
      <c r="D470">
        <v>144</v>
      </c>
      <c r="E470" s="9" t="s">
        <v>4</v>
      </c>
      <c r="F470" s="10">
        <v>45058</v>
      </c>
      <c r="G470">
        <v>5146</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491</v>
      </c>
      <c r="C471" t="s">
        <v>12</v>
      </c>
      <c r="D471">
        <v>81</v>
      </c>
      <c r="E471" s="9" t="s">
        <v>7</v>
      </c>
      <c r="F471" s="10">
        <v>45060</v>
      </c>
      <c r="G471">
        <v>8300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492</v>
      </c>
      <c r="C472" t="s">
        <v>15</v>
      </c>
      <c r="D472">
        <v>92</v>
      </c>
      <c r="E472" s="9" t="s">
        <v>9</v>
      </c>
      <c r="F472" s="10">
        <v>45060</v>
      </c>
      <c r="G472">
        <v>3652</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493</v>
      </c>
      <c r="C473" t="s">
        <v>21</v>
      </c>
      <c r="D473">
        <v>115</v>
      </c>
      <c r="E473" s="9" t="s">
        <v>11</v>
      </c>
      <c r="F473" s="10">
        <v>45060</v>
      </c>
      <c r="G473">
        <v>13944</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494</v>
      </c>
      <c r="C474" t="s">
        <v>13</v>
      </c>
      <c r="D474">
        <v>56</v>
      </c>
      <c r="E474" s="9" t="s">
        <v>11</v>
      </c>
      <c r="F474" s="10">
        <v>45061</v>
      </c>
      <c r="G474">
        <v>16600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495</v>
      </c>
      <c r="C475" t="s">
        <v>10</v>
      </c>
      <c r="D475">
        <v>154</v>
      </c>
      <c r="E475" s="9" t="s">
        <v>9</v>
      </c>
      <c r="F475" s="10">
        <v>45061</v>
      </c>
      <c r="G475">
        <v>6972</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496</v>
      </c>
      <c r="C476" t="s">
        <v>3</v>
      </c>
      <c r="D476">
        <v>51</v>
      </c>
      <c r="E476" s="9" t="s">
        <v>11</v>
      </c>
      <c r="F476" s="10">
        <v>45062</v>
      </c>
      <c r="G476">
        <v>9711</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497</v>
      </c>
      <c r="C477" t="s">
        <v>5</v>
      </c>
      <c r="D477">
        <v>21</v>
      </c>
      <c r="E477" s="9" t="s">
        <v>7</v>
      </c>
      <c r="F477" s="10">
        <v>45062</v>
      </c>
      <c r="G477">
        <v>5229</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498</v>
      </c>
      <c r="C478" t="s">
        <v>21</v>
      </c>
      <c r="D478">
        <v>80</v>
      </c>
      <c r="E478" s="9" t="s">
        <v>11</v>
      </c>
      <c r="F478" s="10">
        <v>45063</v>
      </c>
      <c r="G478">
        <v>12035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499</v>
      </c>
      <c r="C479" t="s">
        <v>3</v>
      </c>
      <c r="D479">
        <v>139</v>
      </c>
      <c r="E479" s="9" t="s">
        <v>9</v>
      </c>
      <c r="F479" s="10">
        <v>45063</v>
      </c>
      <c r="G479">
        <v>18260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500</v>
      </c>
      <c r="C480" t="s">
        <v>22</v>
      </c>
      <c r="D480">
        <v>50</v>
      </c>
      <c r="E480" s="9" t="s">
        <v>7</v>
      </c>
      <c r="F480" s="10">
        <v>45063</v>
      </c>
      <c r="G480">
        <v>2158</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501</v>
      </c>
      <c r="C481" t="s">
        <v>21</v>
      </c>
      <c r="D481">
        <v>88</v>
      </c>
      <c r="E481" s="9" t="s">
        <v>11</v>
      </c>
      <c r="F481" s="10">
        <v>45063</v>
      </c>
      <c r="G481">
        <v>6474</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502</v>
      </c>
      <c r="C482" t="s">
        <v>16</v>
      </c>
      <c r="D482">
        <v>19</v>
      </c>
      <c r="E482" s="9" t="s">
        <v>4</v>
      </c>
      <c r="F482" s="10">
        <v>45064</v>
      </c>
      <c r="G482">
        <v>10956</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503</v>
      </c>
      <c r="C483" t="s">
        <v>20</v>
      </c>
      <c r="D483">
        <v>104</v>
      </c>
      <c r="E483" s="9" t="s">
        <v>4</v>
      </c>
      <c r="F483" s="10">
        <v>45065</v>
      </c>
      <c r="G483">
        <v>5644</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504</v>
      </c>
      <c r="C484" t="s">
        <v>10</v>
      </c>
      <c r="D484">
        <v>67</v>
      </c>
      <c r="E484" s="9" t="s">
        <v>9</v>
      </c>
      <c r="F484" s="10">
        <v>45067</v>
      </c>
      <c r="G484">
        <v>10707</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505</v>
      </c>
      <c r="C485" t="s">
        <v>14</v>
      </c>
      <c r="D485">
        <v>107</v>
      </c>
      <c r="E485" s="9" t="s">
        <v>4</v>
      </c>
      <c r="F485" s="10">
        <v>45067</v>
      </c>
      <c r="G485">
        <v>9545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506</v>
      </c>
      <c r="C486" t="s">
        <v>14</v>
      </c>
      <c r="D486">
        <v>93</v>
      </c>
      <c r="E486" s="9" t="s">
        <v>4</v>
      </c>
      <c r="F486" s="10">
        <v>45067</v>
      </c>
      <c r="G486">
        <v>10624</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507</v>
      </c>
      <c r="C487" t="s">
        <v>14</v>
      </c>
      <c r="D487">
        <v>117</v>
      </c>
      <c r="E487" s="9" t="s">
        <v>9</v>
      </c>
      <c r="F487" s="10">
        <v>45067</v>
      </c>
      <c r="G487">
        <v>7470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508</v>
      </c>
      <c r="C488" t="s">
        <v>22</v>
      </c>
      <c r="D488">
        <v>76</v>
      </c>
      <c r="E488" s="9" t="s">
        <v>11</v>
      </c>
      <c r="F488" s="10">
        <v>45068</v>
      </c>
      <c r="G488">
        <v>3237</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509</v>
      </c>
      <c r="C489" t="s">
        <v>16</v>
      </c>
      <c r="D489">
        <v>64</v>
      </c>
      <c r="E489" s="9" t="s">
        <v>4</v>
      </c>
      <c r="F489" s="10">
        <v>45068</v>
      </c>
      <c r="G489">
        <v>10956</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510</v>
      </c>
      <c r="C490" t="s">
        <v>6</v>
      </c>
      <c r="D490">
        <v>33</v>
      </c>
      <c r="E490" s="9" t="s">
        <v>4</v>
      </c>
      <c r="F490" s="10">
        <v>45068</v>
      </c>
      <c r="G490">
        <v>14110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511</v>
      </c>
      <c r="C491" t="s">
        <v>14</v>
      </c>
      <c r="D491">
        <v>115</v>
      </c>
      <c r="E491" s="9" t="s">
        <v>9</v>
      </c>
      <c r="F491" s="10">
        <v>45068</v>
      </c>
      <c r="G491">
        <v>3486</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512</v>
      </c>
      <c r="C492" t="s">
        <v>19</v>
      </c>
      <c r="D492">
        <v>155</v>
      </c>
      <c r="E492" s="9" t="s">
        <v>11</v>
      </c>
      <c r="F492" s="10">
        <v>45069</v>
      </c>
      <c r="G492">
        <v>3071</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513</v>
      </c>
      <c r="C493" t="s">
        <v>10</v>
      </c>
      <c r="D493">
        <v>117</v>
      </c>
      <c r="E493" s="9" t="s">
        <v>11</v>
      </c>
      <c r="F493" s="10">
        <v>45069</v>
      </c>
      <c r="G493">
        <v>7304</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514</v>
      </c>
      <c r="C494" t="s">
        <v>3</v>
      </c>
      <c r="D494">
        <v>63</v>
      </c>
      <c r="E494" s="9" t="s">
        <v>11</v>
      </c>
      <c r="F494" s="10">
        <v>45069</v>
      </c>
      <c r="G494">
        <v>6640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515</v>
      </c>
      <c r="C495" t="s">
        <v>16</v>
      </c>
      <c r="D495">
        <v>59</v>
      </c>
      <c r="E495" s="9" t="s">
        <v>8</v>
      </c>
      <c r="F495" s="10">
        <v>45070</v>
      </c>
      <c r="G495">
        <v>10209</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516</v>
      </c>
      <c r="C496" t="s">
        <v>5</v>
      </c>
      <c r="D496">
        <v>133</v>
      </c>
      <c r="E496" s="9" t="s">
        <v>4</v>
      </c>
      <c r="F496" s="10">
        <v>45070</v>
      </c>
      <c r="G496">
        <v>2573</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517</v>
      </c>
      <c r="C497" t="s">
        <v>15</v>
      </c>
      <c r="D497">
        <v>101</v>
      </c>
      <c r="E497" s="9" t="s">
        <v>7</v>
      </c>
      <c r="F497" s="10">
        <v>45070</v>
      </c>
      <c r="G497">
        <v>17015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518</v>
      </c>
      <c r="C498" t="s">
        <v>12</v>
      </c>
      <c r="D498">
        <v>151</v>
      </c>
      <c r="E498" s="9" t="s">
        <v>11</v>
      </c>
      <c r="F498" s="10">
        <v>45071</v>
      </c>
      <c r="G498">
        <v>10209</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519</v>
      </c>
      <c r="C499" t="s">
        <v>6</v>
      </c>
      <c r="D499">
        <v>146</v>
      </c>
      <c r="E499" s="9" t="s">
        <v>4</v>
      </c>
      <c r="F499" s="10">
        <v>45071</v>
      </c>
      <c r="G499">
        <v>10209</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520</v>
      </c>
      <c r="C500" t="s">
        <v>3</v>
      </c>
      <c r="D500">
        <v>148</v>
      </c>
      <c r="E500" s="9" t="s">
        <v>4</v>
      </c>
      <c r="F500" s="10">
        <v>45071</v>
      </c>
      <c r="G500">
        <v>2988</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521</v>
      </c>
      <c r="C501" t="s">
        <v>12</v>
      </c>
      <c r="D501">
        <v>81</v>
      </c>
      <c r="E501" s="9" t="s">
        <v>4</v>
      </c>
      <c r="F501" s="10">
        <v>45071</v>
      </c>
      <c r="G501">
        <v>9628</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522</v>
      </c>
      <c r="C502" t="s">
        <v>20</v>
      </c>
      <c r="D502">
        <v>115</v>
      </c>
      <c r="E502" s="9" t="s">
        <v>4</v>
      </c>
      <c r="F502" s="10">
        <v>45071</v>
      </c>
      <c r="G502">
        <v>3320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523</v>
      </c>
      <c r="C503" t="s">
        <v>20</v>
      </c>
      <c r="D503">
        <v>117</v>
      </c>
      <c r="E503" s="9" t="s">
        <v>11</v>
      </c>
      <c r="F503" s="10">
        <v>45071</v>
      </c>
      <c r="G503">
        <v>3320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524</v>
      </c>
      <c r="C504" t="s">
        <v>15</v>
      </c>
      <c r="D504">
        <v>110</v>
      </c>
      <c r="E504" s="9" t="s">
        <v>9</v>
      </c>
      <c r="F504" s="10">
        <v>45072</v>
      </c>
      <c r="G504">
        <v>6806</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525</v>
      </c>
      <c r="C505" t="s">
        <v>22</v>
      </c>
      <c r="D505">
        <v>103</v>
      </c>
      <c r="E505" s="9" t="s">
        <v>8</v>
      </c>
      <c r="F505" s="10">
        <v>45072</v>
      </c>
      <c r="G505">
        <v>5146</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526</v>
      </c>
      <c r="C506" t="s">
        <v>19</v>
      </c>
      <c r="D506">
        <v>45</v>
      </c>
      <c r="E506" s="9" t="s">
        <v>8</v>
      </c>
      <c r="F506" s="10">
        <v>45072</v>
      </c>
      <c r="G506">
        <v>11205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527</v>
      </c>
      <c r="C507" t="s">
        <v>15</v>
      </c>
      <c r="D507">
        <v>110</v>
      </c>
      <c r="E507" s="9" t="s">
        <v>7</v>
      </c>
      <c r="F507" s="10">
        <v>45072</v>
      </c>
      <c r="G507">
        <v>12865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528</v>
      </c>
      <c r="C508" t="s">
        <v>16</v>
      </c>
      <c r="D508">
        <v>43</v>
      </c>
      <c r="E508" s="9" t="s">
        <v>9</v>
      </c>
      <c r="F508" s="10">
        <v>45072</v>
      </c>
      <c r="G508">
        <v>3071</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529</v>
      </c>
      <c r="C509" t="s">
        <v>15</v>
      </c>
      <c r="D509">
        <v>104</v>
      </c>
      <c r="E509" s="9" t="s">
        <v>11</v>
      </c>
      <c r="F509" s="10">
        <v>45073</v>
      </c>
      <c r="G509">
        <v>4648</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530</v>
      </c>
      <c r="C510" t="s">
        <v>15</v>
      </c>
      <c r="D510">
        <v>101</v>
      </c>
      <c r="E510" s="9" t="s">
        <v>11</v>
      </c>
      <c r="F510" s="10">
        <v>45073</v>
      </c>
      <c r="G510">
        <v>15355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531</v>
      </c>
      <c r="C511" t="s">
        <v>18</v>
      </c>
      <c r="D511">
        <v>55</v>
      </c>
      <c r="E511" s="9" t="s">
        <v>9</v>
      </c>
      <c r="F511" s="10">
        <v>45074</v>
      </c>
      <c r="G511">
        <v>12035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532</v>
      </c>
      <c r="C512" t="s">
        <v>12</v>
      </c>
      <c r="D512">
        <v>40</v>
      </c>
      <c r="E512" s="9" t="s">
        <v>8</v>
      </c>
      <c r="F512" s="10">
        <v>45074</v>
      </c>
      <c r="G512">
        <v>9628</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533</v>
      </c>
      <c r="C513" t="s">
        <v>16</v>
      </c>
      <c r="D513">
        <v>122</v>
      </c>
      <c r="E513" s="9" t="s">
        <v>4</v>
      </c>
      <c r="F513" s="10">
        <v>45074</v>
      </c>
      <c r="G513">
        <v>3735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534</v>
      </c>
      <c r="C514" t="s">
        <v>6</v>
      </c>
      <c r="D514">
        <v>98</v>
      </c>
      <c r="E514" s="9" t="s">
        <v>11</v>
      </c>
      <c r="F514" s="10">
        <v>45075</v>
      </c>
      <c r="G514">
        <v>2905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535</v>
      </c>
      <c r="C515" t="s">
        <v>20</v>
      </c>
      <c r="D515">
        <v>110</v>
      </c>
      <c r="E515" s="9" t="s">
        <v>8</v>
      </c>
      <c r="F515" s="10">
        <v>45075</v>
      </c>
      <c r="G515">
        <v>8300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536</v>
      </c>
      <c r="C516" t="s">
        <v>20</v>
      </c>
      <c r="D516">
        <v>62</v>
      </c>
      <c r="E516" s="9" t="s">
        <v>9</v>
      </c>
      <c r="F516" s="10">
        <v>45076</v>
      </c>
      <c r="G516">
        <v>10375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537</v>
      </c>
      <c r="C517" t="s">
        <v>16</v>
      </c>
      <c r="D517">
        <v>134</v>
      </c>
      <c r="E517" s="9" t="s">
        <v>4</v>
      </c>
      <c r="F517" s="10">
        <v>45076</v>
      </c>
      <c r="G517">
        <v>9960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538</v>
      </c>
      <c r="C518" t="s">
        <v>17</v>
      </c>
      <c r="D518">
        <v>94</v>
      </c>
      <c r="E518" s="9" t="s">
        <v>7</v>
      </c>
      <c r="F518" s="10">
        <v>45076</v>
      </c>
      <c r="G518">
        <v>14940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539</v>
      </c>
      <c r="C519" t="s">
        <v>13</v>
      </c>
      <c r="D519">
        <v>63</v>
      </c>
      <c r="E519" s="9" t="s">
        <v>8</v>
      </c>
      <c r="F519" s="10">
        <v>45076</v>
      </c>
      <c r="G519">
        <v>3652</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540</v>
      </c>
      <c r="C520" t="s">
        <v>5</v>
      </c>
      <c r="D520">
        <v>95</v>
      </c>
      <c r="E520" s="9" t="s">
        <v>4</v>
      </c>
      <c r="F520" s="10">
        <v>45076</v>
      </c>
      <c r="G520">
        <v>7138</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541</v>
      </c>
      <c r="C521" t="s">
        <v>16</v>
      </c>
      <c r="D521">
        <v>106</v>
      </c>
      <c r="E521" s="9" t="s">
        <v>4</v>
      </c>
      <c r="F521" s="10">
        <v>45077</v>
      </c>
      <c r="G521">
        <v>9960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542</v>
      </c>
      <c r="C522" t="s">
        <v>19</v>
      </c>
      <c r="D522">
        <v>94</v>
      </c>
      <c r="E522" s="9" t="s">
        <v>7</v>
      </c>
      <c r="F522" s="10">
        <v>45077</v>
      </c>
      <c r="G522">
        <v>8300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543</v>
      </c>
      <c r="C523" t="s">
        <v>19</v>
      </c>
      <c r="D523">
        <v>51</v>
      </c>
      <c r="E523" s="9" t="s">
        <v>7</v>
      </c>
      <c r="F523" s="10">
        <v>45078</v>
      </c>
      <c r="G523">
        <v>8964</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544</v>
      </c>
      <c r="C524" t="s">
        <v>3</v>
      </c>
      <c r="D524">
        <v>39</v>
      </c>
      <c r="E524" s="9" t="s">
        <v>7</v>
      </c>
      <c r="F524" s="10">
        <v>45078</v>
      </c>
      <c r="G524">
        <v>3818</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545</v>
      </c>
      <c r="C525" t="s">
        <v>12</v>
      </c>
      <c r="D525">
        <v>111</v>
      </c>
      <c r="E525" s="9" t="s">
        <v>4</v>
      </c>
      <c r="F525" s="10">
        <v>45078</v>
      </c>
      <c r="G525">
        <v>17430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546</v>
      </c>
      <c r="C526" t="s">
        <v>14</v>
      </c>
      <c r="D526">
        <v>141</v>
      </c>
      <c r="E526" s="9" t="s">
        <v>9</v>
      </c>
      <c r="F526" s="10">
        <v>45080</v>
      </c>
      <c r="G526">
        <v>4482</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547</v>
      </c>
      <c r="C527" t="s">
        <v>13</v>
      </c>
      <c r="D527">
        <v>147</v>
      </c>
      <c r="E527" s="9" t="s">
        <v>4</v>
      </c>
      <c r="F527" s="10">
        <v>45080</v>
      </c>
      <c r="G527">
        <v>9545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548</v>
      </c>
      <c r="C528" t="s">
        <v>17</v>
      </c>
      <c r="D528">
        <v>49</v>
      </c>
      <c r="E528" s="9" t="s">
        <v>7</v>
      </c>
      <c r="F528" s="10">
        <v>45081</v>
      </c>
      <c r="G528">
        <v>8300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549</v>
      </c>
      <c r="C529" t="s">
        <v>21</v>
      </c>
      <c r="D529">
        <v>75</v>
      </c>
      <c r="E529" s="9" t="s">
        <v>4</v>
      </c>
      <c r="F529" s="10">
        <v>45081</v>
      </c>
      <c r="G529">
        <v>3154</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550</v>
      </c>
      <c r="C530" t="s">
        <v>14</v>
      </c>
      <c r="D530">
        <v>48</v>
      </c>
      <c r="E530" s="9" t="s">
        <v>9</v>
      </c>
      <c r="F530" s="10">
        <v>45082</v>
      </c>
      <c r="G530">
        <v>9960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551</v>
      </c>
      <c r="C531" t="s">
        <v>20</v>
      </c>
      <c r="D531">
        <v>48</v>
      </c>
      <c r="E531" s="9" t="s">
        <v>9</v>
      </c>
      <c r="F531" s="10">
        <v>45082</v>
      </c>
      <c r="G531">
        <v>9960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552</v>
      </c>
      <c r="C532" t="s">
        <v>10</v>
      </c>
      <c r="D532">
        <v>138</v>
      </c>
      <c r="E532" s="9" t="s">
        <v>7</v>
      </c>
      <c r="F532" s="10">
        <v>45082</v>
      </c>
      <c r="G532">
        <v>2407</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553</v>
      </c>
      <c r="C533" t="s">
        <v>5</v>
      </c>
      <c r="D533">
        <v>144</v>
      </c>
      <c r="E533" s="9" t="s">
        <v>7</v>
      </c>
      <c r="F533" s="10">
        <v>45083</v>
      </c>
      <c r="G533">
        <v>2075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554</v>
      </c>
      <c r="C534" t="s">
        <v>15</v>
      </c>
      <c r="D534">
        <v>119</v>
      </c>
      <c r="E534" s="9" t="s">
        <v>4</v>
      </c>
      <c r="F534" s="10">
        <v>45084</v>
      </c>
      <c r="G534">
        <v>9628</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555</v>
      </c>
      <c r="C535" t="s">
        <v>10</v>
      </c>
      <c r="D535">
        <v>101</v>
      </c>
      <c r="E535" s="9" t="s">
        <v>9</v>
      </c>
      <c r="F535" s="10">
        <v>45085</v>
      </c>
      <c r="G535">
        <v>10956</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556</v>
      </c>
      <c r="C536" t="s">
        <v>5</v>
      </c>
      <c r="D536">
        <v>59</v>
      </c>
      <c r="E536" s="9" t="s">
        <v>4</v>
      </c>
      <c r="F536" s="10">
        <v>45086</v>
      </c>
      <c r="G536">
        <v>7470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557</v>
      </c>
      <c r="C537" t="s">
        <v>12</v>
      </c>
      <c r="D537">
        <v>125</v>
      </c>
      <c r="E537" s="9" t="s">
        <v>8</v>
      </c>
      <c r="F537" s="10">
        <v>45086</v>
      </c>
      <c r="G537">
        <v>7221</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558</v>
      </c>
      <c r="C538" t="s">
        <v>16</v>
      </c>
      <c r="D538">
        <v>147</v>
      </c>
      <c r="E538" s="9" t="s">
        <v>4</v>
      </c>
      <c r="F538" s="10">
        <v>45086</v>
      </c>
      <c r="G538">
        <v>11620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559</v>
      </c>
      <c r="C539" t="s">
        <v>22</v>
      </c>
      <c r="D539">
        <v>76</v>
      </c>
      <c r="E539" s="9" t="s">
        <v>4</v>
      </c>
      <c r="F539" s="10">
        <v>45086</v>
      </c>
      <c r="G539">
        <v>13612</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560</v>
      </c>
      <c r="C540" t="s">
        <v>13</v>
      </c>
      <c r="D540">
        <v>99</v>
      </c>
      <c r="E540" s="9" t="s">
        <v>9</v>
      </c>
      <c r="F540" s="10">
        <v>45087</v>
      </c>
      <c r="G540">
        <v>14940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561</v>
      </c>
      <c r="C541" t="s">
        <v>3</v>
      </c>
      <c r="D541">
        <v>111</v>
      </c>
      <c r="E541" s="9" t="s">
        <v>11</v>
      </c>
      <c r="F541" s="10">
        <v>45088</v>
      </c>
      <c r="G541">
        <v>1826</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562</v>
      </c>
      <c r="C542" t="s">
        <v>6</v>
      </c>
      <c r="D542">
        <v>147</v>
      </c>
      <c r="E542" s="9" t="s">
        <v>8</v>
      </c>
      <c r="F542" s="10">
        <v>45088</v>
      </c>
      <c r="G542">
        <v>6806</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563</v>
      </c>
      <c r="C543" t="s">
        <v>18</v>
      </c>
      <c r="D543">
        <v>141</v>
      </c>
      <c r="E543" s="9" t="s">
        <v>9</v>
      </c>
      <c r="F543" s="10">
        <v>45088</v>
      </c>
      <c r="G543">
        <v>8300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564</v>
      </c>
      <c r="C544" t="s">
        <v>22</v>
      </c>
      <c r="D544">
        <v>71</v>
      </c>
      <c r="E544" s="9" t="s">
        <v>4</v>
      </c>
      <c r="F544" s="10">
        <v>45089</v>
      </c>
      <c r="G544">
        <v>4316</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565</v>
      </c>
      <c r="C545" t="s">
        <v>22</v>
      </c>
      <c r="D545">
        <v>121</v>
      </c>
      <c r="E545" s="9" t="s">
        <v>8</v>
      </c>
      <c r="F545" s="10">
        <v>45090</v>
      </c>
      <c r="G545">
        <v>6972</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566</v>
      </c>
      <c r="C546" t="s">
        <v>22</v>
      </c>
      <c r="D546">
        <v>60</v>
      </c>
      <c r="E546" s="9" t="s">
        <v>8</v>
      </c>
      <c r="F546" s="10">
        <v>45090</v>
      </c>
      <c r="G546">
        <v>3071</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567</v>
      </c>
      <c r="C547" t="s">
        <v>17</v>
      </c>
      <c r="D547">
        <v>158</v>
      </c>
      <c r="E547" s="9" t="s">
        <v>9</v>
      </c>
      <c r="F547" s="10">
        <v>45091</v>
      </c>
      <c r="G547">
        <v>15770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568</v>
      </c>
      <c r="C548" t="s">
        <v>16</v>
      </c>
      <c r="D548">
        <v>159</v>
      </c>
      <c r="E548" s="9" t="s">
        <v>7</v>
      </c>
      <c r="F548" s="10">
        <v>45091</v>
      </c>
      <c r="G548">
        <v>5478</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569</v>
      </c>
      <c r="C549" t="s">
        <v>10</v>
      </c>
      <c r="D549">
        <v>70</v>
      </c>
      <c r="E549" s="9" t="s">
        <v>4</v>
      </c>
      <c r="F549" s="10">
        <v>45092</v>
      </c>
      <c r="G549">
        <v>9628</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570</v>
      </c>
      <c r="C550" t="s">
        <v>14</v>
      </c>
      <c r="D550">
        <v>78</v>
      </c>
      <c r="E550" s="9" t="s">
        <v>11</v>
      </c>
      <c r="F550" s="10">
        <v>45092</v>
      </c>
      <c r="G550">
        <v>2324</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571</v>
      </c>
      <c r="C551" t="s">
        <v>6</v>
      </c>
      <c r="D551">
        <v>103</v>
      </c>
      <c r="E551" s="9" t="s">
        <v>4</v>
      </c>
      <c r="F551" s="10">
        <v>45092</v>
      </c>
      <c r="G551">
        <v>9960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572</v>
      </c>
      <c r="C552" t="s">
        <v>21</v>
      </c>
      <c r="D552">
        <v>108</v>
      </c>
      <c r="E552" s="9" t="s">
        <v>9</v>
      </c>
      <c r="F552" s="10">
        <v>45092</v>
      </c>
      <c r="G552">
        <v>4648</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573</v>
      </c>
      <c r="C553" t="s">
        <v>21</v>
      </c>
      <c r="D553">
        <v>44</v>
      </c>
      <c r="E553" s="9" t="s">
        <v>8</v>
      </c>
      <c r="F553" s="10">
        <v>45092</v>
      </c>
      <c r="G553">
        <v>14110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574</v>
      </c>
      <c r="C554" t="s">
        <v>14</v>
      </c>
      <c r="D554">
        <v>127</v>
      </c>
      <c r="E554" s="9" t="s">
        <v>9</v>
      </c>
      <c r="F554" s="10">
        <v>45093</v>
      </c>
      <c r="G554">
        <v>16600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575</v>
      </c>
      <c r="C555" t="s">
        <v>6</v>
      </c>
      <c r="D555">
        <v>132</v>
      </c>
      <c r="E555" s="9" t="s">
        <v>4</v>
      </c>
      <c r="F555" s="10">
        <v>45094</v>
      </c>
      <c r="G555">
        <v>4150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576</v>
      </c>
      <c r="C556" t="s">
        <v>18</v>
      </c>
      <c r="D556">
        <v>106</v>
      </c>
      <c r="E556" s="9" t="s">
        <v>11</v>
      </c>
      <c r="F556" s="10">
        <v>45094</v>
      </c>
      <c r="G556">
        <v>9296</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577</v>
      </c>
      <c r="C557" t="s">
        <v>3</v>
      </c>
      <c r="D557">
        <v>107</v>
      </c>
      <c r="E557" s="9" t="s">
        <v>4</v>
      </c>
      <c r="F557" s="10">
        <v>45095</v>
      </c>
      <c r="G557">
        <v>3237</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578</v>
      </c>
      <c r="C558" t="s">
        <v>16</v>
      </c>
      <c r="D558">
        <v>85</v>
      </c>
      <c r="E558" s="9" t="s">
        <v>11</v>
      </c>
      <c r="F558" s="10">
        <v>45095</v>
      </c>
      <c r="G558">
        <v>3154</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579</v>
      </c>
      <c r="C559" t="s">
        <v>13</v>
      </c>
      <c r="D559">
        <v>49</v>
      </c>
      <c r="E559" s="9" t="s">
        <v>4</v>
      </c>
      <c r="F559" s="10">
        <v>45096</v>
      </c>
      <c r="G559">
        <v>6972</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580</v>
      </c>
      <c r="C560" t="s">
        <v>22</v>
      </c>
      <c r="D560">
        <v>117</v>
      </c>
      <c r="E560" s="9" t="s">
        <v>9</v>
      </c>
      <c r="F560" s="10">
        <v>45097</v>
      </c>
      <c r="G560">
        <v>6806</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581</v>
      </c>
      <c r="C561" t="s">
        <v>3</v>
      </c>
      <c r="D561">
        <v>136</v>
      </c>
      <c r="E561" s="9" t="s">
        <v>11</v>
      </c>
      <c r="F561" s="10">
        <v>45097</v>
      </c>
      <c r="G561">
        <v>3071</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582</v>
      </c>
      <c r="C562" t="s">
        <v>21</v>
      </c>
      <c r="D562">
        <v>130</v>
      </c>
      <c r="E562" s="9" t="s">
        <v>7</v>
      </c>
      <c r="F562" s="10">
        <v>45098</v>
      </c>
      <c r="G562">
        <v>7221</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583</v>
      </c>
      <c r="C563" t="s">
        <v>21</v>
      </c>
      <c r="D563">
        <v>73</v>
      </c>
      <c r="E563" s="9" t="s">
        <v>7</v>
      </c>
      <c r="F563" s="10">
        <v>45098</v>
      </c>
      <c r="G563">
        <v>6225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584</v>
      </c>
      <c r="C564" t="s">
        <v>13</v>
      </c>
      <c r="D564">
        <v>80</v>
      </c>
      <c r="E564" s="9" t="s">
        <v>4</v>
      </c>
      <c r="F564" s="10">
        <v>45098</v>
      </c>
      <c r="G564">
        <v>2656</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585</v>
      </c>
      <c r="C565" t="s">
        <v>15</v>
      </c>
      <c r="D565">
        <v>44</v>
      </c>
      <c r="E565" s="9" t="s">
        <v>9</v>
      </c>
      <c r="F565" s="10">
        <v>45098</v>
      </c>
      <c r="G565">
        <v>2739</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586</v>
      </c>
      <c r="C566" t="s">
        <v>15</v>
      </c>
      <c r="D566">
        <v>102</v>
      </c>
      <c r="E566" s="9" t="s">
        <v>8</v>
      </c>
      <c r="F566" s="10">
        <v>45098</v>
      </c>
      <c r="G566">
        <v>6308</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587</v>
      </c>
      <c r="C567" t="s">
        <v>17</v>
      </c>
      <c r="D567">
        <v>74</v>
      </c>
      <c r="E567" s="9" t="s">
        <v>8</v>
      </c>
      <c r="F567" s="10">
        <v>45098</v>
      </c>
      <c r="G567">
        <v>9711</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588</v>
      </c>
      <c r="C568" t="s">
        <v>13</v>
      </c>
      <c r="D568">
        <v>52</v>
      </c>
      <c r="E568" s="9" t="s">
        <v>9</v>
      </c>
      <c r="F568" s="10">
        <v>45100</v>
      </c>
      <c r="G568">
        <v>5810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589</v>
      </c>
      <c r="C569" t="s">
        <v>13</v>
      </c>
      <c r="D569">
        <v>74</v>
      </c>
      <c r="E569" s="9" t="s">
        <v>7</v>
      </c>
      <c r="F569" s="10">
        <v>45100</v>
      </c>
      <c r="G569">
        <v>3071</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590</v>
      </c>
      <c r="C570" t="s">
        <v>21</v>
      </c>
      <c r="D570">
        <v>96</v>
      </c>
      <c r="E570" s="9" t="s">
        <v>8</v>
      </c>
      <c r="F570" s="10">
        <v>45100</v>
      </c>
      <c r="G570">
        <v>3818</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591</v>
      </c>
      <c r="C571" t="s">
        <v>12</v>
      </c>
      <c r="D571">
        <v>104</v>
      </c>
      <c r="E571" s="9" t="s">
        <v>4</v>
      </c>
      <c r="F571" s="10">
        <v>45100</v>
      </c>
      <c r="G571">
        <v>11288</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592</v>
      </c>
      <c r="C572" t="s">
        <v>21</v>
      </c>
      <c r="D572">
        <v>123</v>
      </c>
      <c r="E572" s="9" t="s">
        <v>8</v>
      </c>
      <c r="F572" s="10">
        <v>45101</v>
      </c>
      <c r="G572">
        <v>3652</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593</v>
      </c>
      <c r="C573" t="s">
        <v>20</v>
      </c>
      <c r="D573">
        <v>100</v>
      </c>
      <c r="E573" s="9" t="s">
        <v>11</v>
      </c>
      <c r="F573" s="10">
        <v>45101</v>
      </c>
      <c r="G573">
        <v>5727</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594</v>
      </c>
      <c r="C574" t="s">
        <v>12</v>
      </c>
      <c r="D574">
        <v>35</v>
      </c>
      <c r="E574" s="9" t="s">
        <v>9</v>
      </c>
      <c r="F574" s="10">
        <v>45102</v>
      </c>
      <c r="G574">
        <v>7138</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595</v>
      </c>
      <c r="C575" t="s">
        <v>13</v>
      </c>
      <c r="D575">
        <v>123</v>
      </c>
      <c r="E575" s="9" t="s">
        <v>4</v>
      </c>
      <c r="F575" s="10">
        <v>45102</v>
      </c>
      <c r="G575">
        <v>5644</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596</v>
      </c>
      <c r="C576" t="s">
        <v>22</v>
      </c>
      <c r="D576">
        <v>133</v>
      </c>
      <c r="E576" s="9" t="s">
        <v>9</v>
      </c>
      <c r="F576" s="10">
        <v>45103</v>
      </c>
      <c r="G576">
        <v>1743</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597</v>
      </c>
      <c r="C577" t="s">
        <v>21</v>
      </c>
      <c r="D577">
        <v>126</v>
      </c>
      <c r="E577" s="9" t="s">
        <v>7</v>
      </c>
      <c r="F577" s="10">
        <v>45103</v>
      </c>
      <c r="G577">
        <v>15770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598</v>
      </c>
      <c r="C578" t="s">
        <v>13</v>
      </c>
      <c r="D578">
        <v>39</v>
      </c>
      <c r="E578" s="9" t="s">
        <v>8</v>
      </c>
      <c r="F578" s="10">
        <v>45103</v>
      </c>
      <c r="G578">
        <v>14608</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599</v>
      </c>
      <c r="C579" t="s">
        <v>17</v>
      </c>
      <c r="D579">
        <v>31</v>
      </c>
      <c r="E579" s="9" t="s">
        <v>4</v>
      </c>
      <c r="F579" s="10">
        <v>45103</v>
      </c>
      <c r="G579">
        <v>14276</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600</v>
      </c>
      <c r="C580" t="s">
        <v>6</v>
      </c>
      <c r="D580">
        <v>25</v>
      </c>
      <c r="E580" s="9" t="s">
        <v>9</v>
      </c>
      <c r="F580" s="10">
        <v>45103</v>
      </c>
      <c r="G580">
        <v>6972</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601</v>
      </c>
      <c r="C581" t="s">
        <v>10</v>
      </c>
      <c r="D581">
        <v>132</v>
      </c>
      <c r="E581" s="9" t="s">
        <v>11</v>
      </c>
      <c r="F581" s="10">
        <v>45104</v>
      </c>
      <c r="G581">
        <v>3486</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602</v>
      </c>
      <c r="C582" t="s">
        <v>12</v>
      </c>
      <c r="D582">
        <v>63</v>
      </c>
      <c r="E582" s="9" t="s">
        <v>7</v>
      </c>
      <c r="F582" s="10">
        <v>45104</v>
      </c>
      <c r="G582">
        <v>5810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603</v>
      </c>
      <c r="C583" t="s">
        <v>20</v>
      </c>
      <c r="D583">
        <v>135</v>
      </c>
      <c r="E583" s="9" t="s">
        <v>11</v>
      </c>
      <c r="F583" s="10">
        <v>45104</v>
      </c>
      <c r="G583">
        <v>4980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604</v>
      </c>
      <c r="C584" t="s">
        <v>16</v>
      </c>
      <c r="D584">
        <v>101</v>
      </c>
      <c r="E584" s="9" t="s">
        <v>7</v>
      </c>
      <c r="F584" s="10">
        <v>45104</v>
      </c>
      <c r="G584">
        <v>6972</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605</v>
      </c>
      <c r="C585" t="s">
        <v>22</v>
      </c>
      <c r="D585">
        <v>80</v>
      </c>
      <c r="E585" s="9" t="s">
        <v>8</v>
      </c>
      <c r="F585" s="10">
        <v>45105</v>
      </c>
      <c r="G585">
        <v>5644</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606</v>
      </c>
      <c r="C586" t="s">
        <v>15</v>
      </c>
      <c r="D586">
        <v>28</v>
      </c>
      <c r="E586" s="9" t="s">
        <v>8</v>
      </c>
      <c r="F586" s="10">
        <v>45105</v>
      </c>
      <c r="G586">
        <v>3652</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607</v>
      </c>
      <c r="C587" t="s">
        <v>16</v>
      </c>
      <c r="D587">
        <v>102</v>
      </c>
      <c r="E587" s="9" t="s">
        <v>11</v>
      </c>
      <c r="F587" s="10">
        <v>45106</v>
      </c>
      <c r="G587">
        <v>8217</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608</v>
      </c>
      <c r="C588" t="s">
        <v>12</v>
      </c>
      <c r="D588">
        <v>60</v>
      </c>
      <c r="E588" s="9" t="s">
        <v>11</v>
      </c>
      <c r="F588" s="10">
        <v>45107</v>
      </c>
      <c r="G588">
        <v>5478</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609</v>
      </c>
      <c r="C589" t="s">
        <v>19</v>
      </c>
      <c r="D589">
        <v>103</v>
      </c>
      <c r="E589" s="9" t="s">
        <v>11</v>
      </c>
      <c r="F589" s="10">
        <v>45107</v>
      </c>
      <c r="G589">
        <v>8466</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610</v>
      </c>
      <c r="C590" t="s">
        <v>22</v>
      </c>
      <c r="D590">
        <v>90</v>
      </c>
      <c r="E590" s="9" t="s">
        <v>8</v>
      </c>
      <c r="F590" s="10">
        <v>45108</v>
      </c>
      <c r="G590">
        <v>10707</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611</v>
      </c>
      <c r="C591" t="s">
        <v>14</v>
      </c>
      <c r="D591">
        <v>88</v>
      </c>
      <c r="E591" s="9" t="s">
        <v>11</v>
      </c>
      <c r="F591" s="10">
        <v>45108</v>
      </c>
      <c r="G591">
        <v>6640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612</v>
      </c>
      <c r="C592" t="s">
        <v>19</v>
      </c>
      <c r="D592">
        <v>37</v>
      </c>
      <c r="E592" s="9" t="s">
        <v>11</v>
      </c>
      <c r="F592" s="10">
        <v>45108</v>
      </c>
      <c r="G592">
        <v>4482</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613</v>
      </c>
      <c r="C593" t="s">
        <v>15</v>
      </c>
      <c r="D593">
        <v>142</v>
      </c>
      <c r="E593" s="9" t="s">
        <v>8</v>
      </c>
      <c r="F593" s="10">
        <v>45108</v>
      </c>
      <c r="G593">
        <v>9628</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614</v>
      </c>
      <c r="C594" t="s">
        <v>15</v>
      </c>
      <c r="D594">
        <v>153</v>
      </c>
      <c r="E594" s="9" t="s">
        <v>9</v>
      </c>
      <c r="F594" s="10">
        <v>45108</v>
      </c>
      <c r="G594">
        <v>8466</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615</v>
      </c>
      <c r="C595" t="s">
        <v>5</v>
      </c>
      <c r="D595">
        <v>128</v>
      </c>
      <c r="E595" s="9" t="s">
        <v>7</v>
      </c>
      <c r="F595" s="10">
        <v>45108</v>
      </c>
      <c r="G595">
        <v>11620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616</v>
      </c>
      <c r="C596" t="s">
        <v>12</v>
      </c>
      <c r="D596">
        <v>110</v>
      </c>
      <c r="E596" s="9" t="s">
        <v>7</v>
      </c>
      <c r="F596" s="10">
        <v>45109</v>
      </c>
      <c r="G596">
        <v>8632</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617</v>
      </c>
      <c r="C597" t="s">
        <v>5</v>
      </c>
      <c r="D597">
        <v>139</v>
      </c>
      <c r="E597" s="9" t="s">
        <v>11</v>
      </c>
      <c r="F597" s="10">
        <v>45109</v>
      </c>
      <c r="G597">
        <v>6723</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618</v>
      </c>
      <c r="C598" t="s">
        <v>16</v>
      </c>
      <c r="D598">
        <v>109</v>
      </c>
      <c r="E598" s="9" t="s">
        <v>4</v>
      </c>
      <c r="F598" s="10">
        <v>45111</v>
      </c>
      <c r="G598">
        <v>11620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619</v>
      </c>
      <c r="C599" t="s">
        <v>10</v>
      </c>
      <c r="D599">
        <v>57</v>
      </c>
      <c r="E599" s="9" t="s">
        <v>8</v>
      </c>
      <c r="F599" s="10">
        <v>45112</v>
      </c>
      <c r="G599">
        <v>9960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620</v>
      </c>
      <c r="C600" t="s">
        <v>16</v>
      </c>
      <c r="D600">
        <v>68</v>
      </c>
      <c r="E600" s="9" t="s">
        <v>11</v>
      </c>
      <c r="F600" s="10">
        <v>45112</v>
      </c>
      <c r="G600">
        <v>3403</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621</v>
      </c>
      <c r="C601" t="s">
        <v>6</v>
      </c>
      <c r="D601">
        <v>128</v>
      </c>
      <c r="E601" s="9" t="s">
        <v>11</v>
      </c>
      <c r="F601" s="10">
        <v>45112</v>
      </c>
      <c r="G601">
        <v>9628</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622</v>
      </c>
      <c r="C602" t="s">
        <v>18</v>
      </c>
      <c r="D602">
        <v>102</v>
      </c>
      <c r="E602" s="9" t="s">
        <v>8</v>
      </c>
      <c r="F602" s="10">
        <v>45113</v>
      </c>
      <c r="G602">
        <v>5810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623</v>
      </c>
      <c r="C603" t="s">
        <v>5</v>
      </c>
      <c r="D603">
        <v>52</v>
      </c>
      <c r="E603" s="9" t="s">
        <v>9</v>
      </c>
      <c r="F603" s="10">
        <v>45113</v>
      </c>
      <c r="G603">
        <v>3486</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624</v>
      </c>
      <c r="C604" t="s">
        <v>6</v>
      </c>
      <c r="D604">
        <v>55</v>
      </c>
      <c r="E604" s="9" t="s">
        <v>7</v>
      </c>
      <c r="F604" s="10">
        <v>45114</v>
      </c>
      <c r="G604">
        <v>9296</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625</v>
      </c>
      <c r="C605" t="s">
        <v>19</v>
      </c>
      <c r="D605">
        <v>107</v>
      </c>
      <c r="E605" s="9" t="s">
        <v>11</v>
      </c>
      <c r="F605" s="10">
        <v>45114</v>
      </c>
      <c r="G605">
        <v>1660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626</v>
      </c>
      <c r="C606" t="s">
        <v>22</v>
      </c>
      <c r="D606">
        <v>88</v>
      </c>
      <c r="E606" s="9" t="s">
        <v>9</v>
      </c>
      <c r="F606" s="10">
        <v>45115</v>
      </c>
      <c r="G606">
        <v>9130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627</v>
      </c>
      <c r="C607" t="s">
        <v>13</v>
      </c>
      <c r="D607">
        <v>49</v>
      </c>
      <c r="E607" s="9" t="s">
        <v>9</v>
      </c>
      <c r="F607" s="10">
        <v>45115</v>
      </c>
      <c r="G607">
        <v>3237</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628</v>
      </c>
      <c r="C608" t="s">
        <v>22</v>
      </c>
      <c r="D608">
        <v>72</v>
      </c>
      <c r="E608" s="9" t="s">
        <v>8</v>
      </c>
      <c r="F608" s="10">
        <v>45115</v>
      </c>
      <c r="G608">
        <v>6308</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629</v>
      </c>
      <c r="C609" t="s">
        <v>10</v>
      </c>
      <c r="D609">
        <v>50</v>
      </c>
      <c r="E609" s="9" t="s">
        <v>8</v>
      </c>
      <c r="F609" s="10">
        <v>45115</v>
      </c>
      <c r="G609">
        <v>3320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630</v>
      </c>
      <c r="C610" t="s">
        <v>22</v>
      </c>
      <c r="D610">
        <v>52</v>
      </c>
      <c r="E610" s="9" t="s">
        <v>11</v>
      </c>
      <c r="F610" s="10">
        <v>45115</v>
      </c>
      <c r="G610">
        <v>3486</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631</v>
      </c>
      <c r="C611" t="s">
        <v>21</v>
      </c>
      <c r="D611">
        <v>85</v>
      </c>
      <c r="E611" s="9" t="s">
        <v>4</v>
      </c>
      <c r="F611" s="10">
        <v>45116</v>
      </c>
      <c r="G611">
        <v>17845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632</v>
      </c>
      <c r="C612" t="s">
        <v>20</v>
      </c>
      <c r="D612">
        <v>98</v>
      </c>
      <c r="E612" s="9" t="s">
        <v>4</v>
      </c>
      <c r="F612" s="10">
        <v>45117</v>
      </c>
      <c r="G612">
        <v>10790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633</v>
      </c>
      <c r="C613" t="s">
        <v>17</v>
      </c>
      <c r="D613">
        <v>52</v>
      </c>
      <c r="E613" s="9" t="s">
        <v>4</v>
      </c>
      <c r="F613" s="10">
        <v>45117</v>
      </c>
      <c r="G613">
        <v>15770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634</v>
      </c>
      <c r="C614" t="s">
        <v>6</v>
      </c>
      <c r="D614">
        <v>154</v>
      </c>
      <c r="E614" s="9" t="s">
        <v>9</v>
      </c>
      <c r="F614" s="10">
        <v>45117</v>
      </c>
      <c r="G614">
        <v>13612</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635</v>
      </c>
      <c r="C615" t="s">
        <v>3</v>
      </c>
      <c r="D615">
        <v>131</v>
      </c>
      <c r="E615" s="9" t="s">
        <v>7</v>
      </c>
      <c r="F615" s="10">
        <v>45118</v>
      </c>
      <c r="G615">
        <v>6308</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636</v>
      </c>
      <c r="C616" t="s">
        <v>21</v>
      </c>
      <c r="D616">
        <v>73</v>
      </c>
      <c r="E616" s="9" t="s">
        <v>7</v>
      </c>
      <c r="F616" s="10">
        <v>45119</v>
      </c>
      <c r="G616">
        <v>7221</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637</v>
      </c>
      <c r="C617" t="s">
        <v>12</v>
      </c>
      <c r="D617">
        <v>45</v>
      </c>
      <c r="E617" s="9" t="s">
        <v>4</v>
      </c>
      <c r="F617" s="10">
        <v>45119</v>
      </c>
      <c r="G617">
        <v>6972</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638</v>
      </c>
      <c r="C618" t="s">
        <v>5</v>
      </c>
      <c r="D618">
        <v>114</v>
      </c>
      <c r="E618" s="9" t="s">
        <v>11</v>
      </c>
      <c r="F618" s="10">
        <v>45119</v>
      </c>
      <c r="G618">
        <v>9462</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639</v>
      </c>
      <c r="C619" t="s">
        <v>20</v>
      </c>
      <c r="D619">
        <v>69</v>
      </c>
      <c r="E619" s="9" t="s">
        <v>7</v>
      </c>
      <c r="F619" s="10">
        <v>45120</v>
      </c>
      <c r="G619">
        <v>4648</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640</v>
      </c>
      <c r="C620" t="s">
        <v>3</v>
      </c>
      <c r="D620">
        <v>33</v>
      </c>
      <c r="E620" s="9" t="s">
        <v>9</v>
      </c>
      <c r="F620" s="10">
        <v>45120</v>
      </c>
      <c r="G620">
        <v>2241</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641</v>
      </c>
      <c r="C621" t="s">
        <v>10</v>
      </c>
      <c r="D621">
        <v>31</v>
      </c>
      <c r="E621" s="9" t="s">
        <v>8</v>
      </c>
      <c r="F621" s="10">
        <v>45121</v>
      </c>
      <c r="G621">
        <v>6972</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642</v>
      </c>
      <c r="C622" t="s">
        <v>12</v>
      </c>
      <c r="D622">
        <v>168</v>
      </c>
      <c r="E622" s="9" t="s">
        <v>9</v>
      </c>
      <c r="F622" s="10">
        <v>45121</v>
      </c>
      <c r="G622">
        <v>5976</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643</v>
      </c>
      <c r="C623" t="s">
        <v>21</v>
      </c>
      <c r="D623">
        <v>111</v>
      </c>
      <c r="E623" s="9" t="s">
        <v>11</v>
      </c>
      <c r="F623" s="10">
        <v>45122</v>
      </c>
      <c r="G623">
        <v>10458</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644</v>
      </c>
      <c r="C624" t="s">
        <v>10</v>
      </c>
      <c r="D624">
        <v>80</v>
      </c>
      <c r="E624" s="9" t="s">
        <v>9</v>
      </c>
      <c r="F624" s="10">
        <v>45123</v>
      </c>
      <c r="G624">
        <v>7304</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645</v>
      </c>
      <c r="C625" t="s">
        <v>18</v>
      </c>
      <c r="D625">
        <v>37</v>
      </c>
      <c r="E625" s="9" t="s">
        <v>9</v>
      </c>
      <c r="F625" s="10">
        <v>45123</v>
      </c>
      <c r="G625">
        <v>10292</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646</v>
      </c>
      <c r="C626" t="s">
        <v>15</v>
      </c>
      <c r="D626">
        <v>137</v>
      </c>
      <c r="E626" s="9" t="s">
        <v>9</v>
      </c>
      <c r="F626" s="10">
        <v>45124</v>
      </c>
      <c r="G626">
        <v>6972</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647</v>
      </c>
      <c r="C627" t="s">
        <v>20</v>
      </c>
      <c r="D627">
        <v>123</v>
      </c>
      <c r="E627" s="9" t="s">
        <v>11</v>
      </c>
      <c r="F627" s="10">
        <v>45124</v>
      </c>
      <c r="G627">
        <v>6640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648</v>
      </c>
      <c r="C628" t="s">
        <v>14</v>
      </c>
      <c r="D628">
        <v>105</v>
      </c>
      <c r="E628" s="9" t="s">
        <v>11</v>
      </c>
      <c r="F628" s="10">
        <v>45125</v>
      </c>
      <c r="G628">
        <v>14608</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649</v>
      </c>
      <c r="C629" t="s">
        <v>18</v>
      </c>
      <c r="D629">
        <v>76</v>
      </c>
      <c r="E629" s="9" t="s">
        <v>4</v>
      </c>
      <c r="F629" s="10">
        <v>45126</v>
      </c>
      <c r="G629">
        <v>6972</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650</v>
      </c>
      <c r="C630" t="s">
        <v>10</v>
      </c>
      <c r="D630">
        <v>144</v>
      </c>
      <c r="E630" s="9" t="s">
        <v>4</v>
      </c>
      <c r="F630" s="10">
        <v>45126</v>
      </c>
      <c r="G630">
        <v>13612</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651</v>
      </c>
      <c r="C631" t="s">
        <v>3</v>
      </c>
      <c r="D631">
        <v>109</v>
      </c>
      <c r="E631" s="9" t="s">
        <v>8</v>
      </c>
      <c r="F631" s="10">
        <v>45126</v>
      </c>
      <c r="G631">
        <v>10956</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652</v>
      </c>
      <c r="C632" t="s">
        <v>20</v>
      </c>
      <c r="D632">
        <v>172</v>
      </c>
      <c r="E632" s="9" t="s">
        <v>9</v>
      </c>
      <c r="F632" s="10">
        <v>45127</v>
      </c>
      <c r="G632">
        <v>2241</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653</v>
      </c>
      <c r="C633" t="s">
        <v>10</v>
      </c>
      <c r="D633">
        <v>56</v>
      </c>
      <c r="E633" s="9" t="s">
        <v>11</v>
      </c>
      <c r="F633" s="10">
        <v>45127</v>
      </c>
      <c r="G633">
        <v>2241</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654</v>
      </c>
      <c r="C634" t="s">
        <v>10</v>
      </c>
      <c r="D634">
        <v>121</v>
      </c>
      <c r="E634" s="9" t="s">
        <v>7</v>
      </c>
      <c r="F634" s="10">
        <v>45127</v>
      </c>
      <c r="G634">
        <v>1660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655</v>
      </c>
      <c r="C635" t="s">
        <v>20</v>
      </c>
      <c r="D635">
        <v>41</v>
      </c>
      <c r="E635" s="9" t="s">
        <v>11</v>
      </c>
      <c r="F635" s="10">
        <v>45128</v>
      </c>
      <c r="G635">
        <v>9296</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656</v>
      </c>
      <c r="C636" t="s">
        <v>19</v>
      </c>
      <c r="D636">
        <v>60</v>
      </c>
      <c r="E636" s="9" t="s">
        <v>9</v>
      </c>
      <c r="F636" s="10">
        <v>45128</v>
      </c>
      <c r="G636">
        <v>4980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657</v>
      </c>
      <c r="C637" t="s">
        <v>19</v>
      </c>
      <c r="D637">
        <v>144</v>
      </c>
      <c r="E637" s="9" t="s">
        <v>9</v>
      </c>
      <c r="F637" s="10">
        <v>45129</v>
      </c>
      <c r="G637">
        <v>8466</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658</v>
      </c>
      <c r="C638" t="s">
        <v>6</v>
      </c>
      <c r="D638">
        <v>67</v>
      </c>
      <c r="E638" s="9" t="s">
        <v>9</v>
      </c>
      <c r="F638" s="10">
        <v>45129</v>
      </c>
      <c r="G638">
        <v>3154</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659</v>
      </c>
      <c r="C639" t="s">
        <v>20</v>
      </c>
      <c r="D639">
        <v>162</v>
      </c>
      <c r="E639" s="9" t="s">
        <v>8</v>
      </c>
      <c r="F639" s="10">
        <v>45129</v>
      </c>
      <c r="G639">
        <v>6806</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660</v>
      </c>
      <c r="C640" t="s">
        <v>19</v>
      </c>
      <c r="D640">
        <v>87</v>
      </c>
      <c r="E640" s="9" t="s">
        <v>7</v>
      </c>
      <c r="F640" s="10">
        <v>45132</v>
      </c>
      <c r="G640">
        <v>10375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661</v>
      </c>
      <c r="C641" t="s">
        <v>17</v>
      </c>
      <c r="D641">
        <v>10</v>
      </c>
      <c r="E641" s="9" t="s">
        <v>4</v>
      </c>
      <c r="F641" s="10">
        <v>45133</v>
      </c>
      <c r="G641">
        <v>5976</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662</v>
      </c>
      <c r="C642" t="s">
        <v>10</v>
      </c>
      <c r="D642">
        <v>138</v>
      </c>
      <c r="E642" s="9" t="s">
        <v>4</v>
      </c>
      <c r="F642" s="10">
        <v>45133</v>
      </c>
      <c r="G642">
        <v>16185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663</v>
      </c>
      <c r="C643" t="s">
        <v>20</v>
      </c>
      <c r="D643">
        <v>31</v>
      </c>
      <c r="E643" s="9" t="s">
        <v>4</v>
      </c>
      <c r="F643" s="10">
        <v>45134</v>
      </c>
      <c r="G643">
        <v>13280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664</v>
      </c>
      <c r="C644" t="s">
        <v>14</v>
      </c>
      <c r="D644">
        <v>75</v>
      </c>
      <c r="E644" s="9" t="s">
        <v>8</v>
      </c>
      <c r="F644" s="10">
        <v>45134</v>
      </c>
      <c r="G644">
        <v>6474</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665</v>
      </c>
      <c r="C645" t="s">
        <v>18</v>
      </c>
      <c r="D645">
        <v>65</v>
      </c>
      <c r="E645" s="9" t="s">
        <v>8</v>
      </c>
      <c r="F645" s="10">
        <v>45135</v>
      </c>
      <c r="G645">
        <v>5810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666</v>
      </c>
      <c r="C646" t="s">
        <v>21</v>
      </c>
      <c r="D646">
        <v>106</v>
      </c>
      <c r="E646" s="9" t="s">
        <v>11</v>
      </c>
      <c r="F646" s="10">
        <v>45135</v>
      </c>
      <c r="G646">
        <v>8715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667</v>
      </c>
      <c r="C647" t="s">
        <v>18</v>
      </c>
      <c r="D647">
        <v>107</v>
      </c>
      <c r="E647" s="9" t="s">
        <v>11</v>
      </c>
      <c r="F647" s="10">
        <v>45136</v>
      </c>
      <c r="G647">
        <v>6474</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668</v>
      </c>
      <c r="C648" t="s">
        <v>15</v>
      </c>
      <c r="D648">
        <v>78</v>
      </c>
      <c r="E648" s="9" t="s">
        <v>11</v>
      </c>
      <c r="F648" s="10">
        <v>45138</v>
      </c>
      <c r="G648">
        <v>17015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669</v>
      </c>
      <c r="C649" t="s">
        <v>22</v>
      </c>
      <c r="D649">
        <v>122</v>
      </c>
      <c r="E649" s="9" t="s">
        <v>11</v>
      </c>
      <c r="F649" s="10">
        <v>45138</v>
      </c>
      <c r="G649">
        <v>6474</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670</v>
      </c>
      <c r="C650" t="s">
        <v>10</v>
      </c>
      <c r="D650">
        <v>58</v>
      </c>
      <c r="E650" s="9" t="s">
        <v>4</v>
      </c>
      <c r="F650" s="10">
        <v>45138</v>
      </c>
      <c r="G650">
        <v>3154</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671</v>
      </c>
      <c r="C651" t="s">
        <v>15</v>
      </c>
      <c r="D651">
        <v>33</v>
      </c>
      <c r="E651" s="9" t="s">
        <v>9</v>
      </c>
      <c r="F651" s="10">
        <v>45138</v>
      </c>
      <c r="G651">
        <v>7636</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672</v>
      </c>
      <c r="C652" t="s">
        <v>3</v>
      </c>
      <c r="D652">
        <v>164</v>
      </c>
      <c r="E652" s="9" t="s">
        <v>8</v>
      </c>
      <c r="F652" s="10">
        <v>45138</v>
      </c>
      <c r="G652">
        <v>2988</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673</v>
      </c>
      <c r="C653" t="s">
        <v>14</v>
      </c>
      <c r="D653">
        <v>163</v>
      </c>
      <c r="E653" s="9" t="s">
        <v>7</v>
      </c>
      <c r="F653" s="10">
        <v>45138</v>
      </c>
      <c r="G653">
        <v>6308</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674</v>
      </c>
      <c r="C654" t="s">
        <v>13</v>
      </c>
      <c r="D654">
        <v>71</v>
      </c>
      <c r="E654" s="9" t="s">
        <v>8</v>
      </c>
      <c r="F654" s="10">
        <v>45140</v>
      </c>
      <c r="G654">
        <v>14110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675</v>
      </c>
      <c r="C655" t="s">
        <v>15</v>
      </c>
      <c r="D655">
        <v>103</v>
      </c>
      <c r="E655" s="9" t="s">
        <v>4</v>
      </c>
      <c r="F655" s="10">
        <v>45141</v>
      </c>
      <c r="G655">
        <v>9711</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676</v>
      </c>
      <c r="C656" t="s">
        <v>5</v>
      </c>
      <c r="D656">
        <v>69</v>
      </c>
      <c r="E656" s="9" t="s">
        <v>7</v>
      </c>
      <c r="F656" s="10">
        <v>45141</v>
      </c>
      <c r="G656">
        <v>1660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677</v>
      </c>
      <c r="C657" t="s">
        <v>14</v>
      </c>
      <c r="D657">
        <v>111</v>
      </c>
      <c r="E657" s="9" t="s">
        <v>4</v>
      </c>
      <c r="F657" s="10">
        <v>45141</v>
      </c>
      <c r="G657">
        <v>8217</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678</v>
      </c>
      <c r="C658" t="s">
        <v>16</v>
      </c>
      <c r="D658">
        <v>97</v>
      </c>
      <c r="E658" s="9" t="s">
        <v>7</v>
      </c>
      <c r="F658" s="10">
        <v>45142</v>
      </c>
      <c r="G658">
        <v>8715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679</v>
      </c>
      <c r="C659" t="s">
        <v>12</v>
      </c>
      <c r="D659">
        <v>144</v>
      </c>
      <c r="E659" s="9" t="s">
        <v>11</v>
      </c>
      <c r="F659" s="10">
        <v>45142</v>
      </c>
      <c r="G659">
        <v>16185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680</v>
      </c>
      <c r="C660" t="s">
        <v>21</v>
      </c>
      <c r="D660">
        <v>56</v>
      </c>
      <c r="E660" s="9" t="s">
        <v>7</v>
      </c>
      <c r="F660" s="10">
        <v>45143</v>
      </c>
      <c r="G660">
        <v>12616</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681</v>
      </c>
      <c r="C661" t="s">
        <v>12</v>
      </c>
      <c r="D661">
        <v>132</v>
      </c>
      <c r="E661" s="9" t="s">
        <v>11</v>
      </c>
      <c r="F661" s="10">
        <v>45144</v>
      </c>
      <c r="G661">
        <v>16185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682</v>
      </c>
      <c r="C662" t="s">
        <v>13</v>
      </c>
      <c r="D662">
        <v>72</v>
      </c>
      <c r="E662" s="9" t="s">
        <v>9</v>
      </c>
      <c r="F662" s="10">
        <v>45144</v>
      </c>
      <c r="G662">
        <v>5810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683</v>
      </c>
      <c r="C663" t="s">
        <v>14</v>
      </c>
      <c r="D663">
        <v>18</v>
      </c>
      <c r="E663" s="9" t="s">
        <v>9</v>
      </c>
      <c r="F663" s="10">
        <v>45144</v>
      </c>
      <c r="G663">
        <v>1826</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684</v>
      </c>
      <c r="C664" t="s">
        <v>6</v>
      </c>
      <c r="D664">
        <v>115</v>
      </c>
      <c r="E664" s="9" t="s">
        <v>4</v>
      </c>
      <c r="F664" s="10">
        <v>45145</v>
      </c>
      <c r="G664">
        <v>3320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685</v>
      </c>
      <c r="C665" t="s">
        <v>6</v>
      </c>
      <c r="D665">
        <v>124</v>
      </c>
      <c r="E665" s="9" t="s">
        <v>7</v>
      </c>
      <c r="F665" s="10">
        <v>45146</v>
      </c>
      <c r="G665">
        <v>4482</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686</v>
      </c>
      <c r="C666" t="s">
        <v>10</v>
      </c>
      <c r="D666">
        <v>130</v>
      </c>
      <c r="E666" s="9" t="s">
        <v>7</v>
      </c>
      <c r="F666" s="10">
        <v>45146</v>
      </c>
      <c r="G666">
        <v>4980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687</v>
      </c>
      <c r="C667" t="s">
        <v>17</v>
      </c>
      <c r="D667">
        <v>120</v>
      </c>
      <c r="E667" s="9" t="s">
        <v>8</v>
      </c>
      <c r="F667" s="10">
        <v>45148</v>
      </c>
      <c r="G667">
        <v>4814</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688</v>
      </c>
      <c r="C668" t="s">
        <v>16</v>
      </c>
      <c r="D668">
        <v>75</v>
      </c>
      <c r="E668" s="9" t="s">
        <v>4</v>
      </c>
      <c r="F668" s="10">
        <v>45148</v>
      </c>
      <c r="G668">
        <v>18260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689</v>
      </c>
      <c r="C669" t="s">
        <v>18</v>
      </c>
      <c r="D669">
        <v>63</v>
      </c>
      <c r="E669" s="9" t="s">
        <v>4</v>
      </c>
      <c r="F669" s="10">
        <v>45148</v>
      </c>
      <c r="G669">
        <v>2241</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690</v>
      </c>
      <c r="C670" t="s">
        <v>12</v>
      </c>
      <c r="D670">
        <v>74</v>
      </c>
      <c r="E670" s="9" t="s">
        <v>4</v>
      </c>
      <c r="F670" s="10">
        <v>45150</v>
      </c>
      <c r="G670">
        <v>2158</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691</v>
      </c>
      <c r="C671" t="s">
        <v>5</v>
      </c>
      <c r="D671">
        <v>134</v>
      </c>
      <c r="E671" s="9" t="s">
        <v>11</v>
      </c>
      <c r="F671" s="10">
        <v>45151</v>
      </c>
      <c r="G671">
        <v>13280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692</v>
      </c>
      <c r="C672" t="s">
        <v>14</v>
      </c>
      <c r="D672">
        <v>103</v>
      </c>
      <c r="E672" s="9" t="s">
        <v>7</v>
      </c>
      <c r="F672" s="10">
        <v>45151</v>
      </c>
      <c r="G672">
        <v>16600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693</v>
      </c>
      <c r="C673" t="s">
        <v>14</v>
      </c>
      <c r="D673">
        <v>155</v>
      </c>
      <c r="E673" s="9" t="s">
        <v>8</v>
      </c>
      <c r="F673" s="10">
        <v>45154</v>
      </c>
      <c r="G673">
        <v>11205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694</v>
      </c>
      <c r="C674" t="s">
        <v>18</v>
      </c>
      <c r="D674">
        <v>128</v>
      </c>
      <c r="E674" s="9" t="s">
        <v>7</v>
      </c>
      <c r="F674" s="10">
        <v>45155</v>
      </c>
      <c r="G674">
        <v>1826</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695</v>
      </c>
      <c r="C675" t="s">
        <v>16</v>
      </c>
      <c r="D675">
        <v>89</v>
      </c>
      <c r="E675" s="9" t="s">
        <v>11</v>
      </c>
      <c r="F675" s="10">
        <v>45156</v>
      </c>
      <c r="G675">
        <v>13612</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696</v>
      </c>
      <c r="C676" t="s">
        <v>6</v>
      </c>
      <c r="D676">
        <v>81</v>
      </c>
      <c r="E676" s="9" t="s">
        <v>8</v>
      </c>
      <c r="F676" s="10">
        <v>45156</v>
      </c>
      <c r="G676">
        <v>1743</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697</v>
      </c>
      <c r="C677" t="s">
        <v>16</v>
      </c>
      <c r="D677">
        <v>66</v>
      </c>
      <c r="E677" s="9" t="s">
        <v>11</v>
      </c>
      <c r="F677" s="10">
        <v>45157</v>
      </c>
      <c r="G677">
        <v>9960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698</v>
      </c>
      <c r="C678" t="s">
        <v>13</v>
      </c>
      <c r="D678">
        <v>61</v>
      </c>
      <c r="E678" s="9" t="s">
        <v>9</v>
      </c>
      <c r="F678" s="10">
        <v>45157</v>
      </c>
      <c r="G678">
        <v>7719</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699</v>
      </c>
      <c r="C679" t="s">
        <v>6</v>
      </c>
      <c r="D679">
        <v>128</v>
      </c>
      <c r="E679" s="9" t="s">
        <v>9</v>
      </c>
      <c r="F679" s="10">
        <v>45157</v>
      </c>
      <c r="G679">
        <v>11205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700</v>
      </c>
      <c r="C680" t="s">
        <v>14</v>
      </c>
      <c r="D680">
        <v>30</v>
      </c>
      <c r="E680" s="9" t="s">
        <v>8</v>
      </c>
      <c r="F680" s="10">
        <v>45157</v>
      </c>
      <c r="G680">
        <v>17430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701</v>
      </c>
      <c r="C681" t="s">
        <v>3</v>
      </c>
      <c r="D681">
        <v>63</v>
      </c>
      <c r="E681" s="9" t="s">
        <v>9</v>
      </c>
      <c r="F681" s="10">
        <v>45158</v>
      </c>
      <c r="G681">
        <v>2407</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702</v>
      </c>
      <c r="C682" t="s">
        <v>22</v>
      </c>
      <c r="D682">
        <v>64</v>
      </c>
      <c r="E682" s="9" t="s">
        <v>4</v>
      </c>
      <c r="F682" s="10">
        <v>45158</v>
      </c>
      <c r="G682">
        <v>9213</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703</v>
      </c>
      <c r="C683" t="s">
        <v>19</v>
      </c>
      <c r="D683">
        <v>151</v>
      </c>
      <c r="E683" s="9" t="s">
        <v>7</v>
      </c>
      <c r="F683" s="10">
        <v>45159</v>
      </c>
      <c r="G683">
        <v>5229</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704</v>
      </c>
      <c r="C684" t="s">
        <v>15</v>
      </c>
      <c r="D684">
        <v>116</v>
      </c>
      <c r="E684" s="9" t="s">
        <v>11</v>
      </c>
      <c r="F684" s="10">
        <v>45159</v>
      </c>
      <c r="G684">
        <v>3652</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705</v>
      </c>
      <c r="C685" t="s">
        <v>19</v>
      </c>
      <c r="D685">
        <v>111</v>
      </c>
      <c r="E685" s="9" t="s">
        <v>11</v>
      </c>
      <c r="F685" s="10">
        <v>45161</v>
      </c>
      <c r="G685">
        <v>9960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706</v>
      </c>
      <c r="C686" t="s">
        <v>6</v>
      </c>
      <c r="D686">
        <v>15</v>
      </c>
      <c r="E686" s="9" t="s">
        <v>11</v>
      </c>
      <c r="F686" s="10">
        <v>45161</v>
      </c>
      <c r="G686">
        <v>9960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707</v>
      </c>
      <c r="C687" t="s">
        <v>22</v>
      </c>
      <c r="D687">
        <v>18</v>
      </c>
      <c r="E687" s="9" t="s">
        <v>7</v>
      </c>
      <c r="F687" s="10">
        <v>45162</v>
      </c>
      <c r="G687">
        <v>3320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708</v>
      </c>
      <c r="C688" t="s">
        <v>13</v>
      </c>
      <c r="D688">
        <v>146</v>
      </c>
      <c r="E688" s="9" t="s">
        <v>9</v>
      </c>
      <c r="F688" s="10">
        <v>45162</v>
      </c>
      <c r="G688">
        <v>13280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709</v>
      </c>
      <c r="C689" t="s">
        <v>14</v>
      </c>
      <c r="D689">
        <v>73</v>
      </c>
      <c r="E689" s="9" t="s">
        <v>11</v>
      </c>
      <c r="F689" s="10">
        <v>45163</v>
      </c>
      <c r="G689">
        <v>3652</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710</v>
      </c>
      <c r="C690" t="s">
        <v>19</v>
      </c>
      <c r="D690">
        <v>108</v>
      </c>
      <c r="E690" s="9" t="s">
        <v>7</v>
      </c>
      <c r="F690" s="10">
        <v>45163</v>
      </c>
      <c r="G690">
        <v>6640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711</v>
      </c>
      <c r="C691" t="s">
        <v>5</v>
      </c>
      <c r="D691">
        <v>52</v>
      </c>
      <c r="E691" s="9" t="s">
        <v>7</v>
      </c>
      <c r="F691" s="10">
        <v>45164</v>
      </c>
      <c r="G691">
        <v>5478</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712</v>
      </c>
      <c r="C692" t="s">
        <v>15</v>
      </c>
      <c r="D692">
        <v>165</v>
      </c>
      <c r="E692" s="9" t="s">
        <v>4</v>
      </c>
      <c r="F692" s="10">
        <v>45164</v>
      </c>
      <c r="G692">
        <v>6806</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713</v>
      </c>
      <c r="C693" t="s">
        <v>13</v>
      </c>
      <c r="D693">
        <v>104</v>
      </c>
      <c r="E693" s="9" t="s">
        <v>11</v>
      </c>
      <c r="F693" s="10">
        <v>45164</v>
      </c>
      <c r="G693">
        <v>5478</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714</v>
      </c>
      <c r="C694" t="s">
        <v>14</v>
      </c>
      <c r="D694">
        <v>131</v>
      </c>
      <c r="E694" s="9" t="s">
        <v>9</v>
      </c>
      <c r="F694" s="10">
        <v>45164</v>
      </c>
      <c r="G694">
        <v>7636</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715</v>
      </c>
      <c r="C695" t="s">
        <v>17</v>
      </c>
      <c r="D695">
        <v>80</v>
      </c>
      <c r="E695" s="9" t="s">
        <v>4</v>
      </c>
      <c r="F695" s="10">
        <v>45165</v>
      </c>
      <c r="G695">
        <v>8632</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716</v>
      </c>
      <c r="C696" t="s">
        <v>6</v>
      </c>
      <c r="D696">
        <v>49</v>
      </c>
      <c r="E696" s="9" t="s">
        <v>11</v>
      </c>
      <c r="F696" s="10">
        <v>45165</v>
      </c>
      <c r="G696">
        <v>8715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717</v>
      </c>
      <c r="C697" t="s">
        <v>15</v>
      </c>
      <c r="D697">
        <v>73</v>
      </c>
      <c r="E697" s="9" t="s">
        <v>11</v>
      </c>
      <c r="F697" s="10">
        <v>45165</v>
      </c>
      <c r="G697">
        <v>8300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718</v>
      </c>
      <c r="C698" t="s">
        <v>13</v>
      </c>
      <c r="D698">
        <v>117</v>
      </c>
      <c r="E698" s="9" t="s">
        <v>4</v>
      </c>
      <c r="F698" s="10">
        <v>45165</v>
      </c>
      <c r="G698">
        <v>7470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719</v>
      </c>
      <c r="C699" t="s">
        <v>21</v>
      </c>
      <c r="D699">
        <v>38</v>
      </c>
      <c r="E699" s="9" t="s">
        <v>8</v>
      </c>
      <c r="F699" s="10">
        <v>45165</v>
      </c>
      <c r="G699">
        <v>9130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720</v>
      </c>
      <c r="C700" t="s">
        <v>5</v>
      </c>
      <c r="D700">
        <v>109</v>
      </c>
      <c r="E700" s="9" t="s">
        <v>4</v>
      </c>
      <c r="F700" s="10">
        <v>45167</v>
      </c>
      <c r="G700">
        <v>5644</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721</v>
      </c>
      <c r="C701" t="s">
        <v>6</v>
      </c>
      <c r="D701">
        <v>70</v>
      </c>
      <c r="E701" s="9" t="s">
        <v>7</v>
      </c>
      <c r="F701" s="10">
        <v>45168</v>
      </c>
      <c r="G701">
        <v>17430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722</v>
      </c>
      <c r="C702" t="s">
        <v>10</v>
      </c>
      <c r="D702">
        <v>51</v>
      </c>
      <c r="E702" s="9" t="s">
        <v>8</v>
      </c>
      <c r="F702" s="10">
        <v>45168</v>
      </c>
      <c r="G702">
        <v>9213</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723</v>
      </c>
      <c r="C703" t="s">
        <v>10</v>
      </c>
      <c r="D703">
        <v>100</v>
      </c>
      <c r="E703" s="9" t="s">
        <v>7</v>
      </c>
      <c r="F703" s="10">
        <v>45169</v>
      </c>
      <c r="G703">
        <v>3735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724</v>
      </c>
      <c r="C704" t="s">
        <v>12</v>
      </c>
      <c r="D704">
        <v>124</v>
      </c>
      <c r="E704" s="9" t="s">
        <v>8</v>
      </c>
      <c r="F704" s="10">
        <v>45170</v>
      </c>
      <c r="G704">
        <v>10956</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725</v>
      </c>
      <c r="C705" t="s">
        <v>18</v>
      </c>
      <c r="D705">
        <v>143</v>
      </c>
      <c r="E705" s="9" t="s">
        <v>4</v>
      </c>
      <c r="F705" s="10">
        <v>45170</v>
      </c>
      <c r="G705">
        <v>1660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726</v>
      </c>
      <c r="C706" t="s">
        <v>16</v>
      </c>
      <c r="D706">
        <v>96</v>
      </c>
      <c r="E706" s="9" t="s">
        <v>11</v>
      </c>
      <c r="F706" s="10">
        <v>45170</v>
      </c>
      <c r="G706">
        <v>2988</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727</v>
      </c>
      <c r="C707" t="s">
        <v>15</v>
      </c>
      <c r="D707">
        <v>84</v>
      </c>
      <c r="E707" s="9" t="s">
        <v>7</v>
      </c>
      <c r="F707" s="10">
        <v>45172</v>
      </c>
      <c r="G707">
        <v>5976</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728</v>
      </c>
      <c r="C708" t="s">
        <v>20</v>
      </c>
      <c r="D708">
        <v>111</v>
      </c>
      <c r="E708" s="9" t="s">
        <v>7</v>
      </c>
      <c r="F708" s="10">
        <v>45172</v>
      </c>
      <c r="G708">
        <v>5229</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729</v>
      </c>
      <c r="C709" t="s">
        <v>20</v>
      </c>
      <c r="D709">
        <v>103</v>
      </c>
      <c r="E709" s="9" t="s">
        <v>8</v>
      </c>
      <c r="F709" s="10">
        <v>45173</v>
      </c>
      <c r="G709">
        <v>3652</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730</v>
      </c>
      <c r="C710" t="s">
        <v>18</v>
      </c>
      <c r="D710">
        <v>61</v>
      </c>
      <c r="E710" s="9" t="s">
        <v>9</v>
      </c>
      <c r="F710" s="10">
        <v>45173</v>
      </c>
      <c r="G710">
        <v>10956</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731</v>
      </c>
      <c r="C711" t="s">
        <v>14</v>
      </c>
      <c r="D711">
        <v>113</v>
      </c>
      <c r="E711" s="9" t="s">
        <v>11</v>
      </c>
      <c r="F711" s="10">
        <v>45173</v>
      </c>
      <c r="G711">
        <v>3818</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732</v>
      </c>
      <c r="C712" t="s">
        <v>14</v>
      </c>
      <c r="D712">
        <v>96</v>
      </c>
      <c r="E712" s="9" t="s">
        <v>11</v>
      </c>
      <c r="F712" s="10">
        <v>45173</v>
      </c>
      <c r="G712">
        <v>7968</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733</v>
      </c>
      <c r="C713" t="s">
        <v>22</v>
      </c>
      <c r="D713">
        <v>131</v>
      </c>
      <c r="E713" s="9" t="s">
        <v>8</v>
      </c>
      <c r="F713" s="10">
        <v>45174</v>
      </c>
      <c r="G713">
        <v>6225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734</v>
      </c>
      <c r="C714" t="s">
        <v>13</v>
      </c>
      <c r="D714">
        <v>52</v>
      </c>
      <c r="E714" s="9" t="s">
        <v>11</v>
      </c>
      <c r="F714" s="10">
        <v>45175</v>
      </c>
      <c r="G714">
        <v>7304</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735</v>
      </c>
      <c r="C715" t="s">
        <v>10</v>
      </c>
      <c r="D715">
        <v>100</v>
      </c>
      <c r="E715" s="9" t="s">
        <v>8</v>
      </c>
      <c r="F715" s="10">
        <v>45175</v>
      </c>
      <c r="G715">
        <v>1992</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736</v>
      </c>
      <c r="C716" t="s">
        <v>19</v>
      </c>
      <c r="D716">
        <v>58</v>
      </c>
      <c r="E716" s="9" t="s">
        <v>4</v>
      </c>
      <c r="F716" s="10">
        <v>45175</v>
      </c>
      <c r="G716">
        <v>7968</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737</v>
      </c>
      <c r="C717" t="s">
        <v>6</v>
      </c>
      <c r="D717">
        <v>144</v>
      </c>
      <c r="E717" s="9" t="s">
        <v>4</v>
      </c>
      <c r="F717" s="10">
        <v>45176</v>
      </c>
      <c r="G717">
        <v>10292</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738</v>
      </c>
      <c r="C718" t="s">
        <v>19</v>
      </c>
      <c r="D718">
        <v>53</v>
      </c>
      <c r="E718" s="9" t="s">
        <v>9</v>
      </c>
      <c r="F718" s="10">
        <v>45177</v>
      </c>
      <c r="G718">
        <v>10790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739</v>
      </c>
      <c r="C719" t="s">
        <v>14</v>
      </c>
      <c r="D719">
        <v>97</v>
      </c>
      <c r="E719" s="9" t="s">
        <v>7</v>
      </c>
      <c r="F719" s="10">
        <v>45177</v>
      </c>
      <c r="G719">
        <v>3735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740</v>
      </c>
      <c r="C720" t="s">
        <v>21</v>
      </c>
      <c r="D720">
        <v>64</v>
      </c>
      <c r="E720" s="9" t="s">
        <v>4</v>
      </c>
      <c r="F720" s="10">
        <v>45177</v>
      </c>
      <c r="G720">
        <v>5478</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741</v>
      </c>
      <c r="C721" t="s">
        <v>18</v>
      </c>
      <c r="D721">
        <v>106</v>
      </c>
      <c r="E721" s="9" t="s">
        <v>8</v>
      </c>
      <c r="F721" s="10">
        <v>45177</v>
      </c>
      <c r="G721">
        <v>4814</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742</v>
      </c>
      <c r="C722" t="s">
        <v>15</v>
      </c>
      <c r="D722">
        <v>36</v>
      </c>
      <c r="E722" s="9" t="s">
        <v>4</v>
      </c>
      <c r="F722" s="10">
        <v>45178</v>
      </c>
      <c r="G722">
        <v>12616</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743</v>
      </c>
      <c r="C723" t="s">
        <v>6</v>
      </c>
      <c r="D723">
        <v>74</v>
      </c>
      <c r="E723" s="9" t="s">
        <v>11</v>
      </c>
      <c r="F723" s="10">
        <v>45178</v>
      </c>
      <c r="G723">
        <v>6225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744</v>
      </c>
      <c r="C724" t="s">
        <v>5</v>
      </c>
      <c r="D724">
        <v>143</v>
      </c>
      <c r="E724" s="9" t="s">
        <v>7</v>
      </c>
      <c r="F724" s="10">
        <v>45178</v>
      </c>
      <c r="G724">
        <v>6474</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745</v>
      </c>
      <c r="C725" t="s">
        <v>18</v>
      </c>
      <c r="D725">
        <v>94</v>
      </c>
      <c r="E725" s="9" t="s">
        <v>9</v>
      </c>
      <c r="F725" s="10">
        <v>45178</v>
      </c>
      <c r="G725">
        <v>5727</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746</v>
      </c>
      <c r="C726" t="s">
        <v>17</v>
      </c>
      <c r="D726">
        <v>124</v>
      </c>
      <c r="E726" s="9" t="s">
        <v>8</v>
      </c>
      <c r="F726" s="10">
        <v>45179</v>
      </c>
      <c r="G726">
        <v>3818</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747</v>
      </c>
      <c r="C727" t="s">
        <v>15</v>
      </c>
      <c r="D727">
        <v>156</v>
      </c>
      <c r="E727" s="9" t="s">
        <v>4</v>
      </c>
      <c r="F727" s="10">
        <v>45179</v>
      </c>
      <c r="G727">
        <v>5312</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748</v>
      </c>
      <c r="C728" t="s">
        <v>16</v>
      </c>
      <c r="D728">
        <v>107</v>
      </c>
      <c r="E728" s="9" t="s">
        <v>7</v>
      </c>
      <c r="F728" s="10">
        <v>45179</v>
      </c>
      <c r="G728">
        <v>3154</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749</v>
      </c>
      <c r="C729" t="s">
        <v>18</v>
      </c>
      <c r="D729">
        <v>58</v>
      </c>
      <c r="E729" s="9" t="s">
        <v>7</v>
      </c>
      <c r="F729" s="10">
        <v>45181</v>
      </c>
      <c r="G729">
        <v>7470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750</v>
      </c>
      <c r="C730" t="s">
        <v>12</v>
      </c>
      <c r="D730">
        <v>66</v>
      </c>
      <c r="E730" s="9" t="s">
        <v>7</v>
      </c>
      <c r="F730" s="10">
        <v>45181</v>
      </c>
      <c r="G730">
        <v>2656</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751</v>
      </c>
      <c r="C731" t="s">
        <v>22</v>
      </c>
      <c r="D731">
        <v>75</v>
      </c>
      <c r="E731" s="9" t="s">
        <v>4</v>
      </c>
      <c r="F731" s="10">
        <v>45181</v>
      </c>
      <c r="G731">
        <v>9960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752</v>
      </c>
      <c r="C732" t="s">
        <v>16</v>
      </c>
      <c r="D732">
        <v>8</v>
      </c>
      <c r="E732" s="9" t="s">
        <v>7</v>
      </c>
      <c r="F732" s="10">
        <v>45181</v>
      </c>
      <c r="G732">
        <v>2573</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753</v>
      </c>
      <c r="C733" t="s">
        <v>21</v>
      </c>
      <c r="D733">
        <v>76</v>
      </c>
      <c r="E733" s="9" t="s">
        <v>4</v>
      </c>
      <c r="F733" s="10">
        <v>45182</v>
      </c>
      <c r="G733">
        <v>8964</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754</v>
      </c>
      <c r="C734" t="s">
        <v>18</v>
      </c>
      <c r="D734">
        <v>110</v>
      </c>
      <c r="E734" s="9" t="s">
        <v>4</v>
      </c>
      <c r="F734" s="10">
        <v>45182</v>
      </c>
      <c r="G734">
        <v>14940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755</v>
      </c>
      <c r="C735" t="s">
        <v>12</v>
      </c>
      <c r="D735">
        <v>50</v>
      </c>
      <c r="E735" s="9" t="s">
        <v>9</v>
      </c>
      <c r="F735" s="10">
        <v>45183</v>
      </c>
      <c r="G735">
        <v>10292</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756</v>
      </c>
      <c r="C736" t="s">
        <v>13</v>
      </c>
      <c r="D736">
        <v>78</v>
      </c>
      <c r="E736" s="9" t="s">
        <v>9</v>
      </c>
      <c r="F736" s="10">
        <v>45183</v>
      </c>
      <c r="G736">
        <v>1909</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757</v>
      </c>
      <c r="C737" t="s">
        <v>14</v>
      </c>
      <c r="D737">
        <v>59</v>
      </c>
      <c r="E737" s="9" t="s">
        <v>8</v>
      </c>
      <c r="F737" s="10">
        <v>45184</v>
      </c>
      <c r="G737">
        <v>1992</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758</v>
      </c>
      <c r="C738" t="s">
        <v>13</v>
      </c>
      <c r="D738">
        <v>126</v>
      </c>
      <c r="E738" s="9" t="s">
        <v>7</v>
      </c>
      <c r="F738" s="10">
        <v>45185</v>
      </c>
      <c r="G738">
        <v>4316</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759</v>
      </c>
      <c r="C739" t="s">
        <v>21</v>
      </c>
      <c r="D739">
        <v>43</v>
      </c>
      <c r="E739" s="9" t="s">
        <v>8</v>
      </c>
      <c r="F739" s="10">
        <v>45186</v>
      </c>
      <c r="G739">
        <v>13944</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760</v>
      </c>
      <c r="C740" t="s">
        <v>15</v>
      </c>
      <c r="D740">
        <v>79</v>
      </c>
      <c r="E740" s="9" t="s">
        <v>4</v>
      </c>
      <c r="F740" s="10">
        <v>45188</v>
      </c>
      <c r="G740">
        <v>10375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761</v>
      </c>
      <c r="C741" t="s">
        <v>18</v>
      </c>
      <c r="D741">
        <v>71</v>
      </c>
      <c r="E741" s="9" t="s">
        <v>8</v>
      </c>
      <c r="F741" s="10">
        <v>45189</v>
      </c>
      <c r="G741">
        <v>4150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762</v>
      </c>
      <c r="C742" t="s">
        <v>20</v>
      </c>
      <c r="D742">
        <v>94</v>
      </c>
      <c r="E742" s="9" t="s">
        <v>7</v>
      </c>
      <c r="F742" s="10">
        <v>45190</v>
      </c>
      <c r="G742">
        <v>18260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763</v>
      </c>
      <c r="C743" t="s">
        <v>16</v>
      </c>
      <c r="D743">
        <v>108</v>
      </c>
      <c r="E743" s="9" t="s">
        <v>8</v>
      </c>
      <c r="F743" s="10">
        <v>45190</v>
      </c>
      <c r="G743">
        <v>14940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764</v>
      </c>
      <c r="C744" t="s">
        <v>21</v>
      </c>
      <c r="D744">
        <v>76</v>
      </c>
      <c r="E744" s="9" t="s">
        <v>7</v>
      </c>
      <c r="F744" s="10">
        <v>45190</v>
      </c>
      <c r="G744">
        <v>9130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765</v>
      </c>
      <c r="C745" t="s">
        <v>14</v>
      </c>
      <c r="D745">
        <v>136</v>
      </c>
      <c r="E745" s="9" t="s">
        <v>8</v>
      </c>
      <c r="F745" s="10">
        <v>45190</v>
      </c>
      <c r="G745">
        <v>2988</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766</v>
      </c>
      <c r="C746" t="s">
        <v>10</v>
      </c>
      <c r="D746">
        <v>129</v>
      </c>
      <c r="E746" s="9" t="s">
        <v>9</v>
      </c>
      <c r="F746" s="10">
        <v>45191</v>
      </c>
      <c r="G746">
        <v>7719</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767</v>
      </c>
      <c r="C747" t="s">
        <v>16</v>
      </c>
      <c r="D747">
        <v>120</v>
      </c>
      <c r="E747" s="9" t="s">
        <v>8</v>
      </c>
      <c r="F747" s="10">
        <v>45191</v>
      </c>
      <c r="G747">
        <v>3154</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768</v>
      </c>
      <c r="C748" t="s">
        <v>21</v>
      </c>
      <c r="D748">
        <v>108</v>
      </c>
      <c r="E748" s="9" t="s">
        <v>9</v>
      </c>
      <c r="F748" s="10">
        <v>45192</v>
      </c>
      <c r="G748">
        <v>5478</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769</v>
      </c>
      <c r="C749" t="s">
        <v>13</v>
      </c>
      <c r="D749">
        <v>79</v>
      </c>
      <c r="E749" s="9" t="s">
        <v>8</v>
      </c>
      <c r="F749" s="10">
        <v>45192</v>
      </c>
      <c r="G749">
        <v>17845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770</v>
      </c>
      <c r="C750" t="s">
        <v>13</v>
      </c>
      <c r="D750">
        <v>45</v>
      </c>
      <c r="E750" s="9" t="s">
        <v>9</v>
      </c>
      <c r="F750" s="10">
        <v>45192</v>
      </c>
      <c r="G750">
        <v>7636</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771</v>
      </c>
      <c r="C751" t="s">
        <v>6</v>
      </c>
      <c r="D751">
        <v>96</v>
      </c>
      <c r="E751" s="9" t="s">
        <v>8</v>
      </c>
      <c r="F751" s="10">
        <v>45192</v>
      </c>
      <c r="G751">
        <v>6640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772</v>
      </c>
      <c r="C752" t="s">
        <v>6</v>
      </c>
      <c r="D752">
        <v>81</v>
      </c>
      <c r="E752" s="9" t="s">
        <v>8</v>
      </c>
      <c r="F752" s="10">
        <v>45193</v>
      </c>
      <c r="G752">
        <v>10209</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773</v>
      </c>
      <c r="C753" t="s">
        <v>14</v>
      </c>
      <c r="D753">
        <v>95</v>
      </c>
      <c r="E753" s="9" t="s">
        <v>11</v>
      </c>
      <c r="F753" s="10">
        <v>45193</v>
      </c>
      <c r="G753">
        <v>1909</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774</v>
      </c>
      <c r="C754" t="s">
        <v>17</v>
      </c>
      <c r="D754">
        <v>159</v>
      </c>
      <c r="E754" s="9" t="s">
        <v>7</v>
      </c>
      <c r="F754" s="10">
        <v>45193</v>
      </c>
      <c r="G754">
        <v>5229</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775</v>
      </c>
      <c r="C755" t="s">
        <v>3</v>
      </c>
      <c r="D755">
        <v>109</v>
      </c>
      <c r="E755" s="9" t="s">
        <v>4</v>
      </c>
      <c r="F755" s="10">
        <v>45193</v>
      </c>
      <c r="G755">
        <v>4316</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776</v>
      </c>
      <c r="C756" t="s">
        <v>13</v>
      </c>
      <c r="D756">
        <v>107</v>
      </c>
      <c r="E756" s="9" t="s">
        <v>4</v>
      </c>
      <c r="F756" s="10">
        <v>45193</v>
      </c>
      <c r="G756">
        <v>4980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777</v>
      </c>
      <c r="C757" t="s">
        <v>6</v>
      </c>
      <c r="D757">
        <v>67</v>
      </c>
      <c r="E757" s="9" t="s">
        <v>9</v>
      </c>
      <c r="F757" s="10">
        <v>45194</v>
      </c>
      <c r="G757">
        <v>7221</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778</v>
      </c>
      <c r="C758" t="s">
        <v>22</v>
      </c>
      <c r="D758">
        <v>96</v>
      </c>
      <c r="E758" s="9" t="s">
        <v>8</v>
      </c>
      <c r="F758" s="10">
        <v>45195</v>
      </c>
      <c r="G758">
        <v>3486</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779</v>
      </c>
      <c r="C759" t="s">
        <v>5</v>
      </c>
      <c r="D759">
        <v>142</v>
      </c>
      <c r="E759" s="9" t="s">
        <v>7</v>
      </c>
      <c r="F759" s="10">
        <v>45196</v>
      </c>
      <c r="G759">
        <v>3071</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780</v>
      </c>
      <c r="C760" t="s">
        <v>5</v>
      </c>
      <c r="D760">
        <v>71</v>
      </c>
      <c r="E760" s="9" t="s">
        <v>11</v>
      </c>
      <c r="F760" s="10">
        <v>45196</v>
      </c>
      <c r="G760">
        <v>11205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781</v>
      </c>
      <c r="C761" t="s">
        <v>22</v>
      </c>
      <c r="D761">
        <v>152</v>
      </c>
      <c r="E761" s="9" t="s">
        <v>11</v>
      </c>
      <c r="F761" s="10">
        <v>45196</v>
      </c>
      <c r="G761">
        <v>7304</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782</v>
      </c>
      <c r="C762" t="s">
        <v>15</v>
      </c>
      <c r="D762">
        <v>108</v>
      </c>
      <c r="E762" s="9" t="s">
        <v>7</v>
      </c>
      <c r="F762" s="10">
        <v>45196</v>
      </c>
      <c r="G762">
        <v>15770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783</v>
      </c>
      <c r="C763" t="s">
        <v>15</v>
      </c>
      <c r="D763">
        <v>156</v>
      </c>
      <c r="E763" s="9" t="s">
        <v>11</v>
      </c>
      <c r="F763" s="10">
        <v>45196</v>
      </c>
      <c r="G763">
        <v>6723</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784</v>
      </c>
      <c r="C764" t="s">
        <v>5</v>
      </c>
      <c r="D764">
        <v>126</v>
      </c>
      <c r="E764" s="9" t="s">
        <v>7</v>
      </c>
      <c r="F764" s="10">
        <v>45196</v>
      </c>
      <c r="G764">
        <v>3652</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785</v>
      </c>
      <c r="C765" t="s">
        <v>21</v>
      </c>
      <c r="D765">
        <v>135</v>
      </c>
      <c r="E765" s="9" t="s">
        <v>11</v>
      </c>
      <c r="F765" s="10">
        <v>45197</v>
      </c>
      <c r="G765">
        <v>7636</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786</v>
      </c>
      <c r="C766" t="s">
        <v>5</v>
      </c>
      <c r="D766">
        <v>110</v>
      </c>
      <c r="E766" s="9" t="s">
        <v>8</v>
      </c>
      <c r="F766" s="10">
        <v>45198</v>
      </c>
      <c r="G766">
        <v>7470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787</v>
      </c>
      <c r="C767" t="s">
        <v>17</v>
      </c>
      <c r="D767">
        <v>64</v>
      </c>
      <c r="E767" s="9" t="s">
        <v>11</v>
      </c>
      <c r="F767" s="10">
        <v>45198</v>
      </c>
      <c r="G767">
        <v>9296</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788</v>
      </c>
      <c r="C768" t="s">
        <v>20</v>
      </c>
      <c r="D768">
        <v>127</v>
      </c>
      <c r="E768" s="9" t="s">
        <v>7</v>
      </c>
      <c r="F768" s="10">
        <v>45198</v>
      </c>
      <c r="G768">
        <v>9296</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789</v>
      </c>
      <c r="C769" t="s">
        <v>3</v>
      </c>
      <c r="D769">
        <v>124</v>
      </c>
      <c r="E769" s="9" t="s">
        <v>9</v>
      </c>
      <c r="F769" s="10">
        <v>45198</v>
      </c>
      <c r="G769">
        <v>3984</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790</v>
      </c>
      <c r="C770" t="s">
        <v>17</v>
      </c>
      <c r="D770">
        <v>125</v>
      </c>
      <c r="E770" s="9" t="s">
        <v>7</v>
      </c>
      <c r="F770" s="10">
        <v>45198</v>
      </c>
      <c r="G770">
        <v>9628</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791</v>
      </c>
      <c r="C771" t="s">
        <v>10</v>
      </c>
      <c r="D771">
        <v>70</v>
      </c>
      <c r="E771" s="9" t="s">
        <v>7</v>
      </c>
      <c r="F771" s="10">
        <v>45198</v>
      </c>
      <c r="G771">
        <v>2407</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792</v>
      </c>
      <c r="C772" t="s">
        <v>20</v>
      </c>
      <c r="D772">
        <v>93</v>
      </c>
      <c r="E772" s="9" t="s">
        <v>11</v>
      </c>
      <c r="F772" s="10">
        <v>45199</v>
      </c>
      <c r="G772">
        <v>14110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793</v>
      </c>
      <c r="C773" t="s">
        <v>10</v>
      </c>
      <c r="D773">
        <v>120</v>
      </c>
      <c r="E773" s="9" t="s">
        <v>4</v>
      </c>
      <c r="F773" s="10">
        <v>45199</v>
      </c>
      <c r="G773">
        <v>5644</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794</v>
      </c>
      <c r="C774" t="s">
        <v>6</v>
      </c>
      <c r="D774">
        <v>96</v>
      </c>
      <c r="E774" s="9" t="s">
        <v>8</v>
      </c>
      <c r="F774" s="10">
        <v>45199</v>
      </c>
      <c r="G774">
        <v>16185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795</v>
      </c>
      <c r="C775" t="s">
        <v>19</v>
      </c>
      <c r="D775">
        <v>67</v>
      </c>
      <c r="E775" s="9" t="s">
        <v>8</v>
      </c>
      <c r="F775" s="10">
        <v>45199</v>
      </c>
      <c r="G775">
        <v>7968</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796</v>
      </c>
      <c r="C776" t="s">
        <v>17</v>
      </c>
      <c r="D776">
        <v>119</v>
      </c>
      <c r="E776" s="9" t="s">
        <v>8</v>
      </c>
      <c r="F776" s="10">
        <v>45199</v>
      </c>
      <c r="G776">
        <v>7968</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797</v>
      </c>
      <c r="C777" t="s">
        <v>3</v>
      </c>
      <c r="D777">
        <v>61</v>
      </c>
      <c r="E777" s="9" t="s">
        <v>9</v>
      </c>
      <c r="F777" s="10">
        <v>45199</v>
      </c>
      <c r="G777">
        <v>9711</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798</v>
      </c>
      <c r="C778" t="s">
        <v>6</v>
      </c>
      <c r="D778">
        <v>29</v>
      </c>
      <c r="E778" s="9" t="s">
        <v>11</v>
      </c>
      <c r="F778" s="10">
        <v>45199</v>
      </c>
      <c r="G778">
        <v>6640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799</v>
      </c>
      <c r="C779" t="s">
        <v>22</v>
      </c>
      <c r="D779">
        <v>134</v>
      </c>
      <c r="E779" s="9" t="s">
        <v>4</v>
      </c>
      <c r="F779" s="10">
        <v>45199</v>
      </c>
      <c r="G779">
        <v>9711</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800</v>
      </c>
      <c r="C780" t="s">
        <v>5</v>
      </c>
      <c r="D780">
        <v>113</v>
      </c>
      <c r="E780" s="9" t="s">
        <v>8</v>
      </c>
      <c r="F780" s="10">
        <v>45200</v>
      </c>
      <c r="G780">
        <v>3320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801</v>
      </c>
      <c r="C781" t="s">
        <v>15</v>
      </c>
      <c r="D781">
        <v>12</v>
      </c>
      <c r="E781" s="9" t="s">
        <v>4</v>
      </c>
      <c r="F781" s="10">
        <v>45200</v>
      </c>
      <c r="G781">
        <v>9711</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802</v>
      </c>
      <c r="C782" t="s">
        <v>12</v>
      </c>
      <c r="D782">
        <v>78</v>
      </c>
      <c r="E782" s="9" t="s">
        <v>11</v>
      </c>
      <c r="F782" s="10">
        <v>45200</v>
      </c>
      <c r="G782">
        <v>11205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803</v>
      </c>
      <c r="C783" t="s">
        <v>17</v>
      </c>
      <c r="D783">
        <v>82</v>
      </c>
      <c r="E783" s="9" t="s">
        <v>7</v>
      </c>
      <c r="F783" s="10">
        <v>45200</v>
      </c>
      <c r="G783">
        <v>8217</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804</v>
      </c>
      <c r="C784" t="s">
        <v>16</v>
      </c>
      <c r="D784">
        <v>149</v>
      </c>
      <c r="E784" s="9" t="s">
        <v>9</v>
      </c>
      <c r="F784" s="10">
        <v>45200</v>
      </c>
      <c r="G784">
        <v>10790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805</v>
      </c>
      <c r="C785" t="s">
        <v>13</v>
      </c>
      <c r="D785">
        <v>56</v>
      </c>
      <c r="E785" s="9" t="s">
        <v>4</v>
      </c>
      <c r="F785" s="10">
        <v>45200</v>
      </c>
      <c r="G785">
        <v>7968</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806</v>
      </c>
      <c r="C786" t="s">
        <v>6</v>
      </c>
      <c r="D786">
        <v>80</v>
      </c>
      <c r="E786" s="9" t="s">
        <v>9</v>
      </c>
      <c r="F786" s="10">
        <v>45200</v>
      </c>
      <c r="G786">
        <v>10624</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807</v>
      </c>
      <c r="C787" t="s">
        <v>3</v>
      </c>
      <c r="D787">
        <v>131</v>
      </c>
      <c r="E787" s="9" t="s">
        <v>8</v>
      </c>
      <c r="F787" s="10">
        <v>45200</v>
      </c>
      <c r="G787">
        <v>5727</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808</v>
      </c>
      <c r="C788" t="s">
        <v>3</v>
      </c>
      <c r="D788">
        <v>109</v>
      </c>
      <c r="E788" s="9" t="s">
        <v>8</v>
      </c>
      <c r="F788" s="10">
        <v>45200</v>
      </c>
      <c r="G788">
        <v>3652</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809</v>
      </c>
      <c r="C789" t="s">
        <v>13</v>
      </c>
      <c r="D789">
        <v>142</v>
      </c>
      <c r="E789" s="9" t="s">
        <v>8</v>
      </c>
      <c r="F789" s="10">
        <v>45200</v>
      </c>
      <c r="G789">
        <v>3652</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810</v>
      </c>
      <c r="C790" t="s">
        <v>20</v>
      </c>
      <c r="D790">
        <v>114</v>
      </c>
      <c r="E790" s="9" t="s">
        <v>4</v>
      </c>
      <c r="F790" s="10">
        <v>45201</v>
      </c>
      <c r="G790">
        <v>11205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811</v>
      </c>
      <c r="C791" t="s">
        <v>19</v>
      </c>
      <c r="D791">
        <v>93</v>
      </c>
      <c r="E791" s="9" t="s">
        <v>9</v>
      </c>
      <c r="F791" s="10">
        <v>45201</v>
      </c>
      <c r="G791">
        <v>3735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812</v>
      </c>
      <c r="C792" t="s">
        <v>15</v>
      </c>
      <c r="D792">
        <v>43</v>
      </c>
      <c r="E792" s="9" t="s">
        <v>9</v>
      </c>
      <c r="F792" s="10">
        <v>45201</v>
      </c>
      <c r="G792">
        <v>7221</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813</v>
      </c>
      <c r="C793" t="s">
        <v>22</v>
      </c>
      <c r="D793">
        <v>78</v>
      </c>
      <c r="E793" s="9" t="s">
        <v>11</v>
      </c>
      <c r="F793" s="10">
        <v>45202</v>
      </c>
      <c r="G793">
        <v>6972</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814</v>
      </c>
      <c r="C794" t="s">
        <v>20</v>
      </c>
      <c r="D794">
        <v>89</v>
      </c>
      <c r="E794" s="9" t="s">
        <v>8</v>
      </c>
      <c r="F794" s="10">
        <v>45202</v>
      </c>
      <c r="G794">
        <v>6723</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815</v>
      </c>
      <c r="C795" t="s">
        <v>13</v>
      </c>
      <c r="D795">
        <v>82</v>
      </c>
      <c r="E795" s="9" t="s">
        <v>7</v>
      </c>
      <c r="F795" s="10">
        <v>45202</v>
      </c>
      <c r="G795">
        <v>10790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816</v>
      </c>
      <c r="C796" t="s">
        <v>6</v>
      </c>
      <c r="D796">
        <v>86</v>
      </c>
      <c r="E796" s="9" t="s">
        <v>8</v>
      </c>
      <c r="F796" s="10">
        <v>45203</v>
      </c>
      <c r="G796">
        <v>7636</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817</v>
      </c>
      <c r="C797" t="s">
        <v>14</v>
      </c>
      <c r="D797">
        <v>57</v>
      </c>
      <c r="E797" s="9" t="s">
        <v>11</v>
      </c>
      <c r="F797" s="10">
        <v>45203</v>
      </c>
      <c r="G797">
        <v>3984</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818</v>
      </c>
      <c r="C798" t="s">
        <v>19</v>
      </c>
      <c r="D798">
        <v>103</v>
      </c>
      <c r="E798" s="9" t="s">
        <v>4</v>
      </c>
      <c r="F798" s="10">
        <v>45203</v>
      </c>
      <c r="G798">
        <v>13280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819</v>
      </c>
      <c r="C799" t="s">
        <v>12</v>
      </c>
      <c r="D799">
        <v>138</v>
      </c>
      <c r="E799" s="9" t="s">
        <v>11</v>
      </c>
      <c r="F799" s="10">
        <v>45204</v>
      </c>
      <c r="G799">
        <v>12865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820</v>
      </c>
      <c r="C800" t="s">
        <v>16</v>
      </c>
      <c r="D800">
        <v>88</v>
      </c>
      <c r="E800" s="9" t="s">
        <v>7</v>
      </c>
      <c r="F800" s="10">
        <v>45204</v>
      </c>
      <c r="G800">
        <v>8300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821</v>
      </c>
      <c r="C801" t="s">
        <v>20</v>
      </c>
      <c r="D801">
        <v>118</v>
      </c>
      <c r="E801" s="9" t="s">
        <v>9</v>
      </c>
      <c r="F801" s="10">
        <v>45204</v>
      </c>
      <c r="G801">
        <v>4648</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822</v>
      </c>
      <c r="C802" t="s">
        <v>6</v>
      </c>
      <c r="D802">
        <v>4</v>
      </c>
      <c r="E802" s="9" t="s">
        <v>8</v>
      </c>
      <c r="F802" s="10">
        <v>45204</v>
      </c>
      <c r="G802">
        <v>14110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823</v>
      </c>
      <c r="C803" t="s">
        <v>15</v>
      </c>
      <c r="D803">
        <v>78</v>
      </c>
      <c r="E803" s="9" t="s">
        <v>4</v>
      </c>
      <c r="F803" s="10">
        <v>45205</v>
      </c>
      <c r="G803">
        <v>6142</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824</v>
      </c>
      <c r="C804" t="s">
        <v>5</v>
      </c>
      <c r="D804">
        <v>69</v>
      </c>
      <c r="E804" s="9" t="s">
        <v>8</v>
      </c>
      <c r="F804" s="10">
        <v>45205</v>
      </c>
      <c r="G804">
        <v>8217</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825</v>
      </c>
      <c r="C805" t="s">
        <v>13</v>
      </c>
      <c r="D805">
        <v>90</v>
      </c>
      <c r="E805" s="9" t="s">
        <v>11</v>
      </c>
      <c r="F805" s="10">
        <v>45205</v>
      </c>
      <c r="G805">
        <v>6972</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826</v>
      </c>
      <c r="C806" t="s">
        <v>5</v>
      </c>
      <c r="D806">
        <v>134</v>
      </c>
      <c r="E806" s="9" t="s">
        <v>8</v>
      </c>
      <c r="F806" s="10">
        <v>45205</v>
      </c>
      <c r="G806">
        <v>2905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827</v>
      </c>
      <c r="C807" t="s">
        <v>10</v>
      </c>
      <c r="D807">
        <v>65</v>
      </c>
      <c r="E807" s="9" t="s">
        <v>9</v>
      </c>
      <c r="F807" s="10">
        <v>45205</v>
      </c>
      <c r="G807">
        <v>12450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828</v>
      </c>
      <c r="C808" t="s">
        <v>21</v>
      </c>
      <c r="D808">
        <v>54</v>
      </c>
      <c r="E808" s="9" t="s">
        <v>4</v>
      </c>
      <c r="F808" s="10">
        <v>45206</v>
      </c>
      <c r="G808">
        <v>14608</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829</v>
      </c>
      <c r="C809" t="s">
        <v>21</v>
      </c>
      <c r="D809">
        <v>90</v>
      </c>
      <c r="E809" s="9" t="s">
        <v>4</v>
      </c>
      <c r="F809" s="10">
        <v>45206</v>
      </c>
      <c r="G809">
        <v>6972</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830</v>
      </c>
      <c r="C810" t="s">
        <v>13</v>
      </c>
      <c r="D810">
        <v>66</v>
      </c>
      <c r="E810" s="9" t="s">
        <v>4</v>
      </c>
      <c r="F810" s="10">
        <v>45206</v>
      </c>
      <c r="G810">
        <v>11288</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831</v>
      </c>
      <c r="C811" t="s">
        <v>6</v>
      </c>
      <c r="D811">
        <v>150</v>
      </c>
      <c r="E811" s="9" t="s">
        <v>4</v>
      </c>
      <c r="F811" s="10">
        <v>45207</v>
      </c>
      <c r="G811">
        <v>5810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832</v>
      </c>
      <c r="C812" t="s">
        <v>22</v>
      </c>
      <c r="D812">
        <v>18</v>
      </c>
      <c r="E812" s="9" t="s">
        <v>9</v>
      </c>
      <c r="F812" s="10">
        <v>45207</v>
      </c>
      <c r="G812">
        <v>7968</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833</v>
      </c>
      <c r="C813" t="s">
        <v>21</v>
      </c>
      <c r="D813">
        <v>87</v>
      </c>
      <c r="E813" s="9" t="s">
        <v>9</v>
      </c>
      <c r="F813" s="10">
        <v>45207</v>
      </c>
      <c r="G813">
        <v>1909</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834</v>
      </c>
      <c r="C814" t="s">
        <v>12</v>
      </c>
      <c r="D814">
        <v>94</v>
      </c>
      <c r="E814" s="9" t="s">
        <v>4</v>
      </c>
      <c r="F814" s="10">
        <v>45208</v>
      </c>
      <c r="G814">
        <v>9960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835</v>
      </c>
      <c r="C815" t="s">
        <v>14</v>
      </c>
      <c r="D815">
        <v>56</v>
      </c>
      <c r="E815" s="9" t="s">
        <v>4</v>
      </c>
      <c r="F815" s="10">
        <v>45208</v>
      </c>
      <c r="G815">
        <v>17015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836</v>
      </c>
      <c r="C816" t="s">
        <v>20</v>
      </c>
      <c r="D816">
        <v>41</v>
      </c>
      <c r="E816" s="9" t="s">
        <v>7</v>
      </c>
      <c r="F816" s="10">
        <v>45209</v>
      </c>
      <c r="G816">
        <v>3486</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837</v>
      </c>
      <c r="C817" t="s">
        <v>6</v>
      </c>
      <c r="D817">
        <v>119</v>
      </c>
      <c r="E817" s="9" t="s">
        <v>11</v>
      </c>
      <c r="F817" s="10">
        <v>45209</v>
      </c>
      <c r="G817">
        <v>9213</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838</v>
      </c>
      <c r="C818" t="s">
        <v>19</v>
      </c>
      <c r="D818">
        <v>108</v>
      </c>
      <c r="E818" s="9" t="s">
        <v>4</v>
      </c>
      <c r="F818" s="10">
        <v>45209</v>
      </c>
      <c r="G818">
        <v>5644</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839</v>
      </c>
      <c r="C819" t="s">
        <v>15</v>
      </c>
      <c r="D819">
        <v>63</v>
      </c>
      <c r="E819" s="9" t="s">
        <v>8</v>
      </c>
      <c r="F819" s="10">
        <v>45209</v>
      </c>
      <c r="G819">
        <v>14276</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840</v>
      </c>
      <c r="C820" t="s">
        <v>17</v>
      </c>
      <c r="D820">
        <v>59</v>
      </c>
      <c r="E820" s="9" t="s">
        <v>4</v>
      </c>
      <c r="F820" s="10">
        <v>45209</v>
      </c>
      <c r="G820">
        <v>12616</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841</v>
      </c>
      <c r="C821" t="s">
        <v>17</v>
      </c>
      <c r="D821">
        <v>90</v>
      </c>
      <c r="E821" s="9" t="s">
        <v>7</v>
      </c>
      <c r="F821" s="10">
        <v>45209</v>
      </c>
      <c r="G821">
        <v>3984</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842</v>
      </c>
      <c r="C822" t="s">
        <v>16</v>
      </c>
      <c r="D822">
        <v>55</v>
      </c>
      <c r="E822" s="9" t="s">
        <v>7</v>
      </c>
      <c r="F822" s="10">
        <v>45209</v>
      </c>
      <c r="G822">
        <v>2075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843</v>
      </c>
      <c r="C823" t="s">
        <v>19</v>
      </c>
      <c r="D823">
        <v>84</v>
      </c>
      <c r="E823" s="9" t="s">
        <v>11</v>
      </c>
      <c r="F823" s="10">
        <v>45210</v>
      </c>
      <c r="G823">
        <v>4482</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844</v>
      </c>
      <c r="C824" t="s">
        <v>19</v>
      </c>
      <c r="D824">
        <v>150</v>
      </c>
      <c r="E824" s="9" t="s">
        <v>9</v>
      </c>
      <c r="F824" s="10">
        <v>45210</v>
      </c>
      <c r="G824">
        <v>8964</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845</v>
      </c>
      <c r="C825" t="s">
        <v>3</v>
      </c>
      <c r="D825">
        <v>69</v>
      </c>
      <c r="E825" s="9" t="s">
        <v>4</v>
      </c>
      <c r="F825" s="10">
        <v>45210</v>
      </c>
      <c r="G825">
        <v>2988</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846</v>
      </c>
      <c r="C826" t="s">
        <v>18</v>
      </c>
      <c r="D826">
        <v>120</v>
      </c>
      <c r="E826" s="9" t="s">
        <v>7</v>
      </c>
      <c r="F826" s="10">
        <v>45211</v>
      </c>
      <c r="G826">
        <v>11620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847</v>
      </c>
      <c r="C827" t="s">
        <v>21</v>
      </c>
      <c r="D827">
        <v>126</v>
      </c>
      <c r="E827" s="9" t="s">
        <v>11</v>
      </c>
      <c r="F827" s="10">
        <v>45211</v>
      </c>
      <c r="G827">
        <v>4150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848</v>
      </c>
      <c r="C828" t="s">
        <v>3</v>
      </c>
      <c r="D828">
        <v>120</v>
      </c>
      <c r="E828" s="9" t="s">
        <v>8</v>
      </c>
      <c r="F828" s="10">
        <v>45211</v>
      </c>
      <c r="G828">
        <v>16185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849</v>
      </c>
      <c r="C829" t="s">
        <v>21</v>
      </c>
      <c r="D829">
        <v>139</v>
      </c>
      <c r="E829" s="9" t="s">
        <v>7</v>
      </c>
      <c r="F829" s="10">
        <v>45212</v>
      </c>
      <c r="G829">
        <v>3984</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850</v>
      </c>
      <c r="C830" t="s">
        <v>16</v>
      </c>
      <c r="D830">
        <v>124</v>
      </c>
      <c r="E830" s="9" t="s">
        <v>4</v>
      </c>
      <c r="F830" s="10">
        <v>45213</v>
      </c>
      <c r="G830">
        <v>2407</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851</v>
      </c>
      <c r="C831" t="s">
        <v>18</v>
      </c>
      <c r="D831">
        <v>108</v>
      </c>
      <c r="E831" s="9" t="s">
        <v>8</v>
      </c>
      <c r="F831" s="10">
        <v>45213</v>
      </c>
      <c r="G831">
        <v>3652</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852</v>
      </c>
      <c r="C832" t="s">
        <v>10</v>
      </c>
      <c r="D832">
        <v>132</v>
      </c>
      <c r="E832" s="9" t="s">
        <v>9</v>
      </c>
      <c r="F832" s="10">
        <v>45213</v>
      </c>
      <c r="G832">
        <v>11620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853</v>
      </c>
      <c r="C833" t="s">
        <v>15</v>
      </c>
      <c r="D833">
        <v>67</v>
      </c>
      <c r="E833" s="9" t="s">
        <v>9</v>
      </c>
      <c r="F833" s="10">
        <v>45213</v>
      </c>
      <c r="G833">
        <v>8715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854</v>
      </c>
      <c r="C834" t="s">
        <v>13</v>
      </c>
      <c r="D834">
        <v>125</v>
      </c>
      <c r="E834" s="9" t="s">
        <v>9</v>
      </c>
      <c r="F834" s="10">
        <v>45213</v>
      </c>
      <c r="G834">
        <v>6806</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855</v>
      </c>
      <c r="C835" t="s">
        <v>18</v>
      </c>
      <c r="D835">
        <v>23</v>
      </c>
      <c r="E835" s="9" t="s">
        <v>8</v>
      </c>
      <c r="F835" s="10">
        <v>45213</v>
      </c>
      <c r="G835">
        <v>1992</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856</v>
      </c>
      <c r="C836" t="s">
        <v>6</v>
      </c>
      <c r="D836">
        <v>131</v>
      </c>
      <c r="E836" s="9" t="s">
        <v>4</v>
      </c>
      <c r="F836" s="10">
        <v>45214</v>
      </c>
      <c r="G836">
        <v>17015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857</v>
      </c>
      <c r="C837" t="s">
        <v>10</v>
      </c>
      <c r="D837">
        <v>56</v>
      </c>
      <c r="E837" s="9" t="s">
        <v>7</v>
      </c>
      <c r="F837" s="10">
        <v>45214</v>
      </c>
      <c r="G837">
        <v>18675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858</v>
      </c>
      <c r="C838" t="s">
        <v>6</v>
      </c>
      <c r="D838">
        <v>70</v>
      </c>
      <c r="E838" s="9" t="s">
        <v>4</v>
      </c>
      <c r="F838" s="10">
        <v>45214</v>
      </c>
      <c r="G838">
        <v>4150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859</v>
      </c>
      <c r="C839" t="s">
        <v>6</v>
      </c>
      <c r="D839">
        <v>55</v>
      </c>
      <c r="E839" s="9" t="s">
        <v>9</v>
      </c>
      <c r="F839" s="10">
        <v>45214</v>
      </c>
      <c r="G839">
        <v>6640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860</v>
      </c>
      <c r="C840" t="s">
        <v>13</v>
      </c>
      <c r="D840">
        <v>77</v>
      </c>
      <c r="E840" s="9" t="s">
        <v>7</v>
      </c>
      <c r="F840" s="10">
        <v>45214</v>
      </c>
      <c r="G840">
        <v>6474</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861</v>
      </c>
      <c r="C841" t="s">
        <v>19</v>
      </c>
      <c r="D841">
        <v>133</v>
      </c>
      <c r="E841" s="9" t="s">
        <v>4</v>
      </c>
      <c r="F841" s="10">
        <v>45215</v>
      </c>
      <c r="G841">
        <v>3320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862</v>
      </c>
      <c r="C842" t="s">
        <v>13</v>
      </c>
      <c r="D842">
        <v>77</v>
      </c>
      <c r="E842" s="9" t="s">
        <v>7</v>
      </c>
      <c r="F842" s="10">
        <v>45215</v>
      </c>
      <c r="G842">
        <v>14608</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863</v>
      </c>
      <c r="C843" t="s">
        <v>17</v>
      </c>
      <c r="D843">
        <v>103</v>
      </c>
      <c r="E843" s="9" t="s">
        <v>4</v>
      </c>
      <c r="F843" s="10">
        <v>45215</v>
      </c>
      <c r="G843">
        <v>6474</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864</v>
      </c>
      <c r="C844" t="s">
        <v>3</v>
      </c>
      <c r="D844">
        <v>32</v>
      </c>
      <c r="E844" s="9" t="s">
        <v>7</v>
      </c>
      <c r="F844" s="10">
        <v>45215</v>
      </c>
      <c r="G844">
        <v>3486</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865</v>
      </c>
      <c r="C845" t="s">
        <v>19</v>
      </c>
      <c r="D845">
        <v>30</v>
      </c>
      <c r="E845" s="9" t="s">
        <v>4</v>
      </c>
      <c r="F845" s="10">
        <v>45215</v>
      </c>
      <c r="G845">
        <v>3154</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866</v>
      </c>
      <c r="C846" t="s">
        <v>21</v>
      </c>
      <c r="D846">
        <v>87</v>
      </c>
      <c r="E846" s="9" t="s">
        <v>11</v>
      </c>
      <c r="F846" s="10">
        <v>45215</v>
      </c>
      <c r="G846">
        <v>2241</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867</v>
      </c>
      <c r="C847" t="s">
        <v>13</v>
      </c>
      <c r="D847">
        <v>137</v>
      </c>
      <c r="E847" s="9" t="s">
        <v>8</v>
      </c>
      <c r="F847" s="10">
        <v>45216</v>
      </c>
      <c r="G847">
        <v>3735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868</v>
      </c>
      <c r="C848" t="s">
        <v>12</v>
      </c>
      <c r="D848">
        <v>96</v>
      </c>
      <c r="E848" s="9" t="s">
        <v>4</v>
      </c>
      <c r="F848" s="10">
        <v>45216</v>
      </c>
      <c r="G848">
        <v>17845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869</v>
      </c>
      <c r="C849" t="s">
        <v>16</v>
      </c>
      <c r="D849">
        <v>155</v>
      </c>
      <c r="E849" s="9" t="s">
        <v>4</v>
      </c>
      <c r="F849" s="10">
        <v>45217</v>
      </c>
      <c r="G849">
        <v>5976</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870</v>
      </c>
      <c r="C850" t="s">
        <v>19</v>
      </c>
      <c r="D850">
        <v>173</v>
      </c>
      <c r="E850" s="9" t="s">
        <v>9</v>
      </c>
      <c r="F850" s="10">
        <v>45217</v>
      </c>
      <c r="G850">
        <v>13280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871</v>
      </c>
      <c r="C851" t="s">
        <v>16</v>
      </c>
      <c r="D851">
        <v>127</v>
      </c>
      <c r="E851" s="9" t="s">
        <v>4</v>
      </c>
      <c r="F851" s="10">
        <v>45217</v>
      </c>
      <c r="G851">
        <v>13695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872</v>
      </c>
      <c r="C852" t="s">
        <v>10</v>
      </c>
      <c r="D852">
        <v>117</v>
      </c>
      <c r="E852" s="9" t="s">
        <v>9</v>
      </c>
      <c r="F852" s="10">
        <v>45217</v>
      </c>
      <c r="G852">
        <v>9960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873</v>
      </c>
      <c r="C853" t="s">
        <v>18</v>
      </c>
      <c r="D853">
        <v>133</v>
      </c>
      <c r="E853" s="9" t="s">
        <v>7</v>
      </c>
      <c r="F853" s="10">
        <v>45217</v>
      </c>
      <c r="G853">
        <v>9711</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874</v>
      </c>
      <c r="C854" t="s">
        <v>22</v>
      </c>
      <c r="D854">
        <v>166</v>
      </c>
      <c r="E854" s="9" t="s">
        <v>11</v>
      </c>
      <c r="F854" s="10">
        <v>45218</v>
      </c>
      <c r="G854">
        <v>2407</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875</v>
      </c>
      <c r="C855" t="s">
        <v>18</v>
      </c>
      <c r="D855">
        <v>50</v>
      </c>
      <c r="E855" s="9" t="s">
        <v>9</v>
      </c>
      <c r="F855" s="10">
        <v>45218</v>
      </c>
      <c r="G855">
        <v>5312</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876</v>
      </c>
      <c r="C856" t="s">
        <v>17</v>
      </c>
      <c r="D856">
        <v>43</v>
      </c>
      <c r="E856" s="9" t="s">
        <v>7</v>
      </c>
      <c r="F856" s="10">
        <v>45218</v>
      </c>
      <c r="G856">
        <v>6972</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877</v>
      </c>
      <c r="C857" t="s">
        <v>12</v>
      </c>
      <c r="D857">
        <v>124</v>
      </c>
      <c r="E857" s="9" t="s">
        <v>4</v>
      </c>
      <c r="F857" s="10">
        <v>45218</v>
      </c>
      <c r="G857">
        <v>3486</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878</v>
      </c>
      <c r="C858" t="s">
        <v>19</v>
      </c>
      <c r="D858">
        <v>94</v>
      </c>
      <c r="E858" s="9" t="s">
        <v>4</v>
      </c>
      <c r="F858" s="10">
        <v>45218</v>
      </c>
      <c r="G858">
        <v>9960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879</v>
      </c>
      <c r="C859" t="s">
        <v>17</v>
      </c>
      <c r="D859">
        <v>126</v>
      </c>
      <c r="E859" s="9" t="s">
        <v>11</v>
      </c>
      <c r="F859" s="10">
        <v>45219</v>
      </c>
      <c r="G859">
        <v>6640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880</v>
      </c>
      <c r="C860" t="s">
        <v>22</v>
      </c>
      <c r="D860">
        <v>105</v>
      </c>
      <c r="E860" s="9" t="s">
        <v>9</v>
      </c>
      <c r="F860" s="10">
        <v>45219</v>
      </c>
      <c r="G860">
        <v>15355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881</v>
      </c>
      <c r="C861" t="s">
        <v>6</v>
      </c>
      <c r="D861">
        <v>60</v>
      </c>
      <c r="E861" s="9" t="s">
        <v>8</v>
      </c>
      <c r="F861" s="10">
        <v>45220</v>
      </c>
      <c r="G861">
        <v>11205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882</v>
      </c>
      <c r="C862" t="s">
        <v>6</v>
      </c>
      <c r="D862">
        <v>72</v>
      </c>
      <c r="E862" s="9" t="s">
        <v>9</v>
      </c>
      <c r="F862" s="10">
        <v>45220</v>
      </c>
      <c r="G862">
        <v>1660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883</v>
      </c>
      <c r="C863" t="s">
        <v>14</v>
      </c>
      <c r="D863">
        <v>40</v>
      </c>
      <c r="E863" s="9" t="s">
        <v>9</v>
      </c>
      <c r="F863" s="10">
        <v>45220</v>
      </c>
      <c r="G863">
        <v>2573</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884</v>
      </c>
      <c r="C864" t="s">
        <v>3</v>
      </c>
      <c r="D864">
        <v>54</v>
      </c>
      <c r="E864" s="9" t="s">
        <v>11</v>
      </c>
      <c r="F864" s="10">
        <v>45221</v>
      </c>
      <c r="G864">
        <v>9960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885</v>
      </c>
      <c r="C865" t="s">
        <v>10</v>
      </c>
      <c r="D865">
        <v>81</v>
      </c>
      <c r="E865" s="9" t="s">
        <v>7</v>
      </c>
      <c r="F865" s="10">
        <v>45221</v>
      </c>
      <c r="G865">
        <v>9711</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886</v>
      </c>
      <c r="C866" t="s">
        <v>3</v>
      </c>
      <c r="D866">
        <v>76</v>
      </c>
      <c r="E866" s="9" t="s">
        <v>4</v>
      </c>
      <c r="F866" s="10">
        <v>45221</v>
      </c>
      <c r="G866">
        <v>6640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887</v>
      </c>
      <c r="C867" t="s">
        <v>3</v>
      </c>
      <c r="D867">
        <v>37</v>
      </c>
      <c r="E867" s="9" t="s">
        <v>8</v>
      </c>
      <c r="F867" s="10">
        <v>45222</v>
      </c>
      <c r="G867">
        <v>9711</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888</v>
      </c>
      <c r="C868" t="s">
        <v>22</v>
      </c>
      <c r="D868">
        <v>96</v>
      </c>
      <c r="E868" s="9" t="s">
        <v>11</v>
      </c>
      <c r="F868" s="10">
        <v>45222</v>
      </c>
      <c r="G868">
        <v>4980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889</v>
      </c>
      <c r="C869" t="s">
        <v>6</v>
      </c>
      <c r="D869">
        <v>19</v>
      </c>
      <c r="E869" s="9" t="s">
        <v>4</v>
      </c>
      <c r="F869" s="10">
        <v>45223</v>
      </c>
      <c r="G869">
        <v>4814</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890</v>
      </c>
      <c r="C870" t="s">
        <v>14</v>
      </c>
      <c r="D870">
        <v>72</v>
      </c>
      <c r="E870" s="9" t="s">
        <v>8</v>
      </c>
      <c r="F870" s="10">
        <v>45223</v>
      </c>
      <c r="G870">
        <v>3403</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891</v>
      </c>
      <c r="C871" t="s">
        <v>19</v>
      </c>
      <c r="D871">
        <v>73</v>
      </c>
      <c r="E871" s="9" t="s">
        <v>7</v>
      </c>
      <c r="F871" s="10">
        <v>45223</v>
      </c>
      <c r="G871">
        <v>14940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892</v>
      </c>
      <c r="C872" t="s">
        <v>15</v>
      </c>
      <c r="D872">
        <v>87</v>
      </c>
      <c r="E872" s="9" t="s">
        <v>7</v>
      </c>
      <c r="F872" s="10">
        <v>45223</v>
      </c>
      <c r="G872">
        <v>3486</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893</v>
      </c>
      <c r="C873" t="s">
        <v>15</v>
      </c>
      <c r="D873">
        <v>68</v>
      </c>
      <c r="E873" s="9" t="s">
        <v>7</v>
      </c>
      <c r="F873" s="10">
        <v>45224</v>
      </c>
      <c r="G873">
        <v>1992</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894</v>
      </c>
      <c r="C874" t="s">
        <v>14</v>
      </c>
      <c r="D874">
        <v>101</v>
      </c>
      <c r="E874" s="9" t="s">
        <v>7</v>
      </c>
      <c r="F874" s="10">
        <v>45224</v>
      </c>
      <c r="G874">
        <v>10375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895</v>
      </c>
      <c r="C875" t="s">
        <v>14</v>
      </c>
      <c r="D875">
        <v>107</v>
      </c>
      <c r="E875" s="9" t="s">
        <v>8</v>
      </c>
      <c r="F875" s="10">
        <v>45225</v>
      </c>
      <c r="G875">
        <v>6474</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896</v>
      </c>
      <c r="C876" t="s">
        <v>20</v>
      </c>
      <c r="D876">
        <v>109</v>
      </c>
      <c r="E876" s="9" t="s">
        <v>9</v>
      </c>
      <c r="F876" s="10">
        <v>45225</v>
      </c>
      <c r="G876">
        <v>14940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897</v>
      </c>
      <c r="C877" t="s">
        <v>12</v>
      </c>
      <c r="D877">
        <v>171</v>
      </c>
      <c r="E877" s="9" t="s">
        <v>8</v>
      </c>
      <c r="F877" s="10">
        <v>45225</v>
      </c>
      <c r="G877">
        <v>6972</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898</v>
      </c>
      <c r="C878" t="s">
        <v>6</v>
      </c>
      <c r="D878">
        <v>21</v>
      </c>
      <c r="E878" s="9" t="s">
        <v>8</v>
      </c>
      <c r="F878" s="10">
        <v>45225</v>
      </c>
      <c r="G878">
        <v>2158</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899</v>
      </c>
      <c r="C879" t="s">
        <v>10</v>
      </c>
      <c r="D879">
        <v>94</v>
      </c>
      <c r="E879" s="9" t="s">
        <v>8</v>
      </c>
      <c r="F879" s="10">
        <v>45226</v>
      </c>
      <c r="G879">
        <v>11620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900</v>
      </c>
      <c r="C880" t="s">
        <v>19</v>
      </c>
      <c r="D880">
        <v>97</v>
      </c>
      <c r="E880" s="9" t="s">
        <v>9</v>
      </c>
      <c r="F880" s="10">
        <v>45226</v>
      </c>
      <c r="G880">
        <v>2573</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901</v>
      </c>
      <c r="C881" t="s">
        <v>22</v>
      </c>
      <c r="D881">
        <v>72</v>
      </c>
      <c r="E881" s="9" t="s">
        <v>9</v>
      </c>
      <c r="F881" s="10">
        <v>45226</v>
      </c>
      <c r="G881">
        <v>8964</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902</v>
      </c>
      <c r="C882" t="s">
        <v>12</v>
      </c>
      <c r="D882">
        <v>143</v>
      </c>
      <c r="E882" s="9" t="s">
        <v>11</v>
      </c>
      <c r="F882" s="10">
        <v>45227</v>
      </c>
      <c r="G882">
        <v>4814</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903</v>
      </c>
      <c r="C883" t="s">
        <v>12</v>
      </c>
      <c r="D883">
        <v>64</v>
      </c>
      <c r="E883" s="9" t="s">
        <v>9</v>
      </c>
      <c r="F883" s="10">
        <v>45227</v>
      </c>
      <c r="G883">
        <v>15355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904</v>
      </c>
      <c r="C884" t="s">
        <v>12</v>
      </c>
      <c r="D884">
        <v>69</v>
      </c>
      <c r="E884" s="9" t="s">
        <v>9</v>
      </c>
      <c r="F884" s="10">
        <v>45227</v>
      </c>
      <c r="G884">
        <v>3320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905</v>
      </c>
      <c r="C885" t="s">
        <v>12</v>
      </c>
      <c r="D885">
        <v>18</v>
      </c>
      <c r="E885" s="9" t="s">
        <v>4</v>
      </c>
      <c r="F885" s="10">
        <v>45227</v>
      </c>
      <c r="G885">
        <v>18675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906</v>
      </c>
      <c r="C886" t="s">
        <v>19</v>
      </c>
      <c r="D886">
        <v>100</v>
      </c>
      <c r="E886" s="9" t="s">
        <v>11</v>
      </c>
      <c r="F886" s="10">
        <v>45227</v>
      </c>
      <c r="G886">
        <v>12450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907</v>
      </c>
      <c r="C887" t="s">
        <v>16</v>
      </c>
      <c r="D887">
        <v>110</v>
      </c>
      <c r="E887" s="9" t="s">
        <v>7</v>
      </c>
      <c r="F887" s="10">
        <v>45228</v>
      </c>
      <c r="G887">
        <v>7304</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908</v>
      </c>
      <c r="C888" t="s">
        <v>5</v>
      </c>
      <c r="D888">
        <v>41</v>
      </c>
      <c r="E888" s="9" t="s">
        <v>8</v>
      </c>
      <c r="F888" s="10">
        <v>45228</v>
      </c>
      <c r="G888">
        <v>11620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909</v>
      </c>
      <c r="C889" t="s">
        <v>16</v>
      </c>
      <c r="D889">
        <v>147</v>
      </c>
      <c r="E889" s="9" t="s">
        <v>7</v>
      </c>
      <c r="F889" s="10">
        <v>45228</v>
      </c>
      <c r="G889">
        <v>5644</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910</v>
      </c>
      <c r="C890" t="s">
        <v>10</v>
      </c>
      <c r="D890">
        <v>31</v>
      </c>
      <c r="E890" s="9" t="s">
        <v>4</v>
      </c>
      <c r="F890" s="10">
        <v>45229</v>
      </c>
      <c r="G890">
        <v>8715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911</v>
      </c>
      <c r="C891" t="s">
        <v>15</v>
      </c>
      <c r="D891">
        <v>142</v>
      </c>
      <c r="E891" s="9" t="s">
        <v>8</v>
      </c>
      <c r="F891" s="10">
        <v>45229</v>
      </c>
      <c r="G891">
        <v>3320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912</v>
      </c>
      <c r="C892" t="s">
        <v>20</v>
      </c>
      <c r="D892">
        <v>61</v>
      </c>
      <c r="E892" s="9" t="s">
        <v>8</v>
      </c>
      <c r="F892" s="10">
        <v>45229</v>
      </c>
      <c r="G892">
        <v>6806</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913</v>
      </c>
      <c r="C893" t="s">
        <v>18</v>
      </c>
      <c r="D893">
        <v>86</v>
      </c>
      <c r="E893" s="9" t="s">
        <v>4</v>
      </c>
      <c r="F893" s="10">
        <v>45230</v>
      </c>
      <c r="G893">
        <v>7470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914</v>
      </c>
      <c r="C894" t="s">
        <v>21</v>
      </c>
      <c r="D894">
        <v>165</v>
      </c>
      <c r="E894" s="9" t="s">
        <v>11</v>
      </c>
      <c r="F894" s="10">
        <v>45231</v>
      </c>
      <c r="G894">
        <v>5478</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915</v>
      </c>
      <c r="C895" t="s">
        <v>3</v>
      </c>
      <c r="D895">
        <v>62</v>
      </c>
      <c r="E895" s="9" t="s">
        <v>7</v>
      </c>
      <c r="F895" s="10">
        <v>45231</v>
      </c>
      <c r="G895">
        <v>6474</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916</v>
      </c>
      <c r="C896" t="s">
        <v>19</v>
      </c>
      <c r="D896">
        <v>103</v>
      </c>
      <c r="E896" s="9" t="s">
        <v>11</v>
      </c>
      <c r="F896" s="10">
        <v>45232</v>
      </c>
      <c r="G896">
        <v>5478</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917</v>
      </c>
      <c r="C897" t="s">
        <v>15</v>
      </c>
      <c r="D897">
        <v>56</v>
      </c>
      <c r="E897" s="9" t="s">
        <v>4</v>
      </c>
      <c r="F897" s="10">
        <v>45233</v>
      </c>
      <c r="G897">
        <v>13280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918</v>
      </c>
      <c r="C898" t="s">
        <v>14</v>
      </c>
      <c r="D898">
        <v>114</v>
      </c>
      <c r="E898" s="9" t="s">
        <v>8</v>
      </c>
      <c r="F898" s="10">
        <v>45234</v>
      </c>
      <c r="G898">
        <v>11952</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919</v>
      </c>
      <c r="C899" t="s">
        <v>15</v>
      </c>
      <c r="D899">
        <v>112</v>
      </c>
      <c r="E899" s="9" t="s">
        <v>9</v>
      </c>
      <c r="F899" s="10">
        <v>45234</v>
      </c>
      <c r="G899">
        <v>16600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920</v>
      </c>
      <c r="C900" t="s">
        <v>13</v>
      </c>
      <c r="D900">
        <v>52</v>
      </c>
      <c r="E900" s="9" t="s">
        <v>7</v>
      </c>
      <c r="F900" s="10">
        <v>45236</v>
      </c>
      <c r="G900">
        <v>18260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921</v>
      </c>
      <c r="C901" t="s">
        <v>19</v>
      </c>
      <c r="D901">
        <v>105</v>
      </c>
      <c r="E901" s="9" t="s">
        <v>11</v>
      </c>
      <c r="F901" s="10">
        <v>45237</v>
      </c>
      <c r="G901">
        <v>9296</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922</v>
      </c>
      <c r="C902" t="s">
        <v>21</v>
      </c>
      <c r="D902">
        <v>91</v>
      </c>
      <c r="E902" s="9" t="s">
        <v>4</v>
      </c>
      <c r="F902" s="10">
        <v>45237</v>
      </c>
      <c r="G902">
        <v>9130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923</v>
      </c>
      <c r="C903" t="s">
        <v>17</v>
      </c>
      <c r="D903">
        <v>74</v>
      </c>
      <c r="E903" s="9" t="s">
        <v>8</v>
      </c>
      <c r="F903" s="10">
        <v>45238</v>
      </c>
      <c r="G903">
        <v>13280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924</v>
      </c>
      <c r="C904" t="s">
        <v>17</v>
      </c>
      <c r="D904">
        <v>30</v>
      </c>
      <c r="E904" s="9" t="s">
        <v>4</v>
      </c>
      <c r="F904" s="10">
        <v>45238</v>
      </c>
      <c r="G904">
        <v>6972</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925</v>
      </c>
      <c r="C905" t="s">
        <v>21</v>
      </c>
      <c r="D905">
        <v>56</v>
      </c>
      <c r="E905" s="9" t="s">
        <v>7</v>
      </c>
      <c r="F905" s="10">
        <v>45238</v>
      </c>
      <c r="G905">
        <v>10292</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926</v>
      </c>
      <c r="C906" t="s">
        <v>17</v>
      </c>
      <c r="D906">
        <v>151</v>
      </c>
      <c r="E906" s="9" t="s">
        <v>9</v>
      </c>
      <c r="F906" s="10">
        <v>45238</v>
      </c>
      <c r="G906">
        <v>6972</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927</v>
      </c>
      <c r="C907" t="s">
        <v>10</v>
      </c>
      <c r="D907">
        <v>108</v>
      </c>
      <c r="E907" s="9" t="s">
        <v>11</v>
      </c>
      <c r="F907" s="10">
        <v>45239</v>
      </c>
      <c r="G907">
        <v>10790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928</v>
      </c>
      <c r="C908" t="s">
        <v>14</v>
      </c>
      <c r="D908">
        <v>124</v>
      </c>
      <c r="E908" s="9" t="s">
        <v>8</v>
      </c>
      <c r="F908" s="10">
        <v>45239</v>
      </c>
      <c r="G908">
        <v>17845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929</v>
      </c>
      <c r="C909" t="s">
        <v>19</v>
      </c>
      <c r="D909">
        <v>110</v>
      </c>
      <c r="E909" s="9" t="s">
        <v>7</v>
      </c>
      <c r="F909" s="10">
        <v>45240</v>
      </c>
      <c r="G909">
        <v>10956</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930</v>
      </c>
      <c r="C910" t="s">
        <v>16</v>
      </c>
      <c r="D910">
        <v>89</v>
      </c>
      <c r="E910" s="9" t="s">
        <v>11</v>
      </c>
      <c r="F910" s="10">
        <v>45240</v>
      </c>
      <c r="G910">
        <v>7304</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931</v>
      </c>
      <c r="C911" t="s">
        <v>18</v>
      </c>
      <c r="D911">
        <v>95</v>
      </c>
      <c r="E911" s="9" t="s">
        <v>7</v>
      </c>
      <c r="F911" s="10">
        <v>45240</v>
      </c>
      <c r="G911">
        <v>11620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932</v>
      </c>
      <c r="C912" t="s">
        <v>17</v>
      </c>
      <c r="D912">
        <v>84</v>
      </c>
      <c r="E912" s="9" t="s">
        <v>11</v>
      </c>
      <c r="F912" s="10">
        <v>45241</v>
      </c>
      <c r="G912">
        <v>5478</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933</v>
      </c>
      <c r="C913" t="s">
        <v>22</v>
      </c>
      <c r="D913">
        <v>89</v>
      </c>
      <c r="E913" s="9" t="s">
        <v>8</v>
      </c>
      <c r="F913" s="10">
        <v>45241</v>
      </c>
      <c r="G913">
        <v>1909</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934</v>
      </c>
      <c r="C914" t="s">
        <v>16</v>
      </c>
      <c r="D914">
        <v>146</v>
      </c>
      <c r="E914" s="9" t="s">
        <v>8</v>
      </c>
      <c r="F914" s="10">
        <v>45242</v>
      </c>
      <c r="G914">
        <v>18260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935</v>
      </c>
      <c r="C915" t="s">
        <v>12</v>
      </c>
      <c r="D915">
        <v>62</v>
      </c>
      <c r="E915" s="9" t="s">
        <v>4</v>
      </c>
      <c r="F915" s="10">
        <v>45243</v>
      </c>
      <c r="G915">
        <v>14525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936</v>
      </c>
      <c r="C916" t="s">
        <v>15</v>
      </c>
      <c r="D916">
        <v>82</v>
      </c>
      <c r="E916" s="9" t="s">
        <v>8</v>
      </c>
      <c r="F916" s="10">
        <v>45243</v>
      </c>
      <c r="G916">
        <v>14276</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937</v>
      </c>
      <c r="C917" t="s">
        <v>20</v>
      </c>
      <c r="D917">
        <v>91</v>
      </c>
      <c r="E917" s="9" t="s">
        <v>9</v>
      </c>
      <c r="F917" s="10">
        <v>45243</v>
      </c>
      <c r="G917">
        <v>8964</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938</v>
      </c>
      <c r="C918" t="s">
        <v>22</v>
      </c>
      <c r="D918">
        <v>39</v>
      </c>
      <c r="E918" s="9" t="s">
        <v>8</v>
      </c>
      <c r="F918" s="10">
        <v>45244</v>
      </c>
      <c r="G918">
        <v>3569</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939</v>
      </c>
      <c r="C919" t="s">
        <v>16</v>
      </c>
      <c r="D919">
        <v>149</v>
      </c>
      <c r="E919" s="9" t="s">
        <v>7</v>
      </c>
      <c r="F919" s="10">
        <v>45244</v>
      </c>
      <c r="G919">
        <v>3652</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940</v>
      </c>
      <c r="C920" t="s">
        <v>15</v>
      </c>
      <c r="D920">
        <v>138</v>
      </c>
      <c r="E920" s="9" t="s">
        <v>4</v>
      </c>
      <c r="F920" s="10">
        <v>45244</v>
      </c>
      <c r="G920">
        <v>8715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941</v>
      </c>
      <c r="C921" t="s">
        <v>12</v>
      </c>
      <c r="D921">
        <v>113</v>
      </c>
      <c r="E921" s="9" t="s">
        <v>7</v>
      </c>
      <c r="F921" s="10">
        <v>45245</v>
      </c>
      <c r="G921">
        <v>2822</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942</v>
      </c>
      <c r="C922" t="s">
        <v>6</v>
      </c>
      <c r="D922">
        <v>88</v>
      </c>
      <c r="E922" s="9" t="s">
        <v>8</v>
      </c>
      <c r="F922" s="10">
        <v>45245</v>
      </c>
      <c r="G922">
        <v>18260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943</v>
      </c>
      <c r="C923" t="s">
        <v>18</v>
      </c>
      <c r="D923">
        <v>64</v>
      </c>
      <c r="E923" s="9" t="s">
        <v>4</v>
      </c>
      <c r="F923" s="10">
        <v>45245</v>
      </c>
      <c r="G923">
        <v>18675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944</v>
      </c>
      <c r="C924" t="s">
        <v>21</v>
      </c>
      <c r="D924">
        <v>53</v>
      </c>
      <c r="E924" s="9" t="s">
        <v>4</v>
      </c>
      <c r="F924" s="10">
        <v>45246</v>
      </c>
      <c r="G924">
        <v>3071</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945</v>
      </c>
      <c r="C925" t="s">
        <v>14</v>
      </c>
      <c r="D925">
        <v>63</v>
      </c>
      <c r="E925" s="9" t="s">
        <v>7</v>
      </c>
      <c r="F925" s="10">
        <v>45246</v>
      </c>
      <c r="G925">
        <v>3652</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946</v>
      </c>
      <c r="C926" t="s">
        <v>13</v>
      </c>
      <c r="D926">
        <v>54</v>
      </c>
      <c r="E926" s="9" t="s">
        <v>7</v>
      </c>
      <c r="F926" s="10">
        <v>45247</v>
      </c>
      <c r="G926">
        <v>2905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947</v>
      </c>
      <c r="C927" t="s">
        <v>14</v>
      </c>
      <c r="D927">
        <v>54</v>
      </c>
      <c r="E927" s="9" t="s">
        <v>8</v>
      </c>
      <c r="F927" s="10">
        <v>45247</v>
      </c>
      <c r="G927">
        <v>12035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948</v>
      </c>
      <c r="C928" t="s">
        <v>16</v>
      </c>
      <c r="D928">
        <v>71</v>
      </c>
      <c r="E928" s="9" t="s">
        <v>4</v>
      </c>
      <c r="F928" s="10">
        <v>45247</v>
      </c>
      <c r="G928">
        <v>5312</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949</v>
      </c>
      <c r="C929" t="s">
        <v>14</v>
      </c>
      <c r="D929">
        <v>93</v>
      </c>
      <c r="E929" s="9" t="s">
        <v>8</v>
      </c>
      <c r="F929" s="10">
        <v>45248</v>
      </c>
      <c r="G929">
        <v>15355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950</v>
      </c>
      <c r="C930" t="s">
        <v>19</v>
      </c>
      <c r="D930">
        <v>96</v>
      </c>
      <c r="E930" s="9" t="s">
        <v>7</v>
      </c>
      <c r="F930" s="10">
        <v>45248</v>
      </c>
      <c r="G930">
        <v>17845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951</v>
      </c>
      <c r="C931" t="s">
        <v>22</v>
      </c>
      <c r="D931">
        <v>31</v>
      </c>
      <c r="E931" s="9" t="s">
        <v>9</v>
      </c>
      <c r="F931" s="10">
        <v>45248</v>
      </c>
      <c r="G931">
        <v>7304</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952</v>
      </c>
      <c r="C932" t="s">
        <v>14</v>
      </c>
      <c r="D932">
        <v>107</v>
      </c>
      <c r="E932" s="9" t="s">
        <v>4</v>
      </c>
      <c r="F932" s="10">
        <v>45248</v>
      </c>
      <c r="G932">
        <v>1909</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953</v>
      </c>
      <c r="C933" t="s">
        <v>21</v>
      </c>
      <c r="D933">
        <v>50</v>
      </c>
      <c r="E933" s="9" t="s">
        <v>9</v>
      </c>
      <c r="F933" s="10">
        <v>45249</v>
      </c>
      <c r="G933">
        <v>14940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954</v>
      </c>
      <c r="C934" t="s">
        <v>15</v>
      </c>
      <c r="D934">
        <v>69</v>
      </c>
      <c r="E934" s="9" t="s">
        <v>4</v>
      </c>
      <c r="F934" s="10">
        <v>45250</v>
      </c>
      <c r="G934">
        <v>18675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955</v>
      </c>
      <c r="C935" t="s">
        <v>6</v>
      </c>
      <c r="D935">
        <v>26</v>
      </c>
      <c r="E935" s="9" t="s">
        <v>7</v>
      </c>
      <c r="F935" s="10">
        <v>45251</v>
      </c>
      <c r="G935">
        <v>6142</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956</v>
      </c>
      <c r="C936" t="s">
        <v>19</v>
      </c>
      <c r="D936">
        <v>158</v>
      </c>
      <c r="E936" s="9" t="s">
        <v>4</v>
      </c>
      <c r="F936" s="10">
        <v>45251</v>
      </c>
      <c r="G936">
        <v>2988</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957</v>
      </c>
      <c r="C937" t="s">
        <v>13</v>
      </c>
      <c r="D937">
        <v>99</v>
      </c>
      <c r="E937" s="9" t="s">
        <v>4</v>
      </c>
      <c r="F937" s="10">
        <v>45253</v>
      </c>
      <c r="G937">
        <v>9628</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958</v>
      </c>
      <c r="C938" t="s">
        <v>19</v>
      </c>
      <c r="D938">
        <v>78</v>
      </c>
      <c r="E938" s="9" t="s">
        <v>9</v>
      </c>
      <c r="F938" s="10">
        <v>45253</v>
      </c>
      <c r="G938">
        <v>11620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959</v>
      </c>
      <c r="C939" t="s">
        <v>19</v>
      </c>
      <c r="D939">
        <v>102</v>
      </c>
      <c r="E939" s="9" t="s">
        <v>7</v>
      </c>
      <c r="F939" s="10">
        <v>45254</v>
      </c>
      <c r="G939">
        <v>8632</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960</v>
      </c>
      <c r="C940" t="s">
        <v>13</v>
      </c>
      <c r="D940">
        <v>158</v>
      </c>
      <c r="E940" s="9" t="s">
        <v>11</v>
      </c>
      <c r="F940" s="10">
        <v>45254</v>
      </c>
      <c r="G940">
        <v>12284</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961</v>
      </c>
      <c r="C941" t="s">
        <v>22</v>
      </c>
      <c r="D941">
        <v>56</v>
      </c>
      <c r="E941" s="9" t="s">
        <v>4</v>
      </c>
      <c r="F941" s="10">
        <v>45254</v>
      </c>
      <c r="G941">
        <v>17015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962</v>
      </c>
      <c r="C942" t="s">
        <v>10</v>
      </c>
      <c r="D942">
        <v>17</v>
      </c>
      <c r="E942" s="9" t="s">
        <v>8</v>
      </c>
      <c r="F942" s="10">
        <v>45254</v>
      </c>
      <c r="G942">
        <v>17430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963</v>
      </c>
      <c r="C943" t="s">
        <v>6</v>
      </c>
      <c r="D943">
        <v>104</v>
      </c>
      <c r="E943" s="9" t="s">
        <v>11</v>
      </c>
      <c r="F943" s="10">
        <v>45256</v>
      </c>
      <c r="G943">
        <v>3403</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964</v>
      </c>
      <c r="C944" t="s">
        <v>17</v>
      </c>
      <c r="D944">
        <v>96</v>
      </c>
      <c r="E944" s="9" t="s">
        <v>9</v>
      </c>
      <c r="F944" s="10">
        <v>45256</v>
      </c>
      <c r="G944">
        <v>11288</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965</v>
      </c>
      <c r="C945" t="s">
        <v>20</v>
      </c>
      <c r="D945">
        <v>83</v>
      </c>
      <c r="E945" s="9" t="s">
        <v>7</v>
      </c>
      <c r="F945" s="10">
        <v>45257</v>
      </c>
      <c r="G945">
        <v>10458</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966</v>
      </c>
      <c r="C946" t="s">
        <v>21</v>
      </c>
      <c r="D946">
        <v>80</v>
      </c>
      <c r="E946" s="9" t="s">
        <v>8</v>
      </c>
      <c r="F946" s="10">
        <v>45258</v>
      </c>
      <c r="G946">
        <v>12284</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967</v>
      </c>
      <c r="C947" t="s">
        <v>20</v>
      </c>
      <c r="D947">
        <v>152</v>
      </c>
      <c r="E947" s="9" t="s">
        <v>7</v>
      </c>
      <c r="F947" s="10">
        <v>45258</v>
      </c>
      <c r="G947">
        <v>10375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968</v>
      </c>
      <c r="C948" t="s">
        <v>16</v>
      </c>
      <c r="D948">
        <v>34</v>
      </c>
      <c r="E948" s="9" t="s">
        <v>9</v>
      </c>
      <c r="F948" s="10">
        <v>45258</v>
      </c>
      <c r="G948">
        <v>2075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969</v>
      </c>
      <c r="C949" t="s">
        <v>12</v>
      </c>
      <c r="D949">
        <v>2</v>
      </c>
      <c r="E949" s="9" t="s">
        <v>4</v>
      </c>
      <c r="F949" s="10">
        <v>45259</v>
      </c>
      <c r="G949">
        <v>5146</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970</v>
      </c>
      <c r="C950" t="s">
        <v>21</v>
      </c>
      <c r="D950">
        <v>140</v>
      </c>
      <c r="E950" s="9" t="s">
        <v>9</v>
      </c>
      <c r="F950" s="10">
        <v>45260</v>
      </c>
      <c r="G950">
        <v>7470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971</v>
      </c>
      <c r="C951" t="s">
        <v>10</v>
      </c>
      <c r="D951">
        <v>126</v>
      </c>
      <c r="E951" s="9" t="s">
        <v>11</v>
      </c>
      <c r="F951" s="10">
        <v>45261</v>
      </c>
      <c r="G951">
        <v>2739</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972</v>
      </c>
      <c r="C952" t="s">
        <v>19</v>
      </c>
      <c r="D952">
        <v>79</v>
      </c>
      <c r="E952" s="9" t="s">
        <v>4</v>
      </c>
      <c r="F952" s="10">
        <v>45261</v>
      </c>
      <c r="G952">
        <v>9545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973</v>
      </c>
      <c r="C953" t="s">
        <v>10</v>
      </c>
      <c r="D953">
        <v>133</v>
      </c>
      <c r="E953" s="9" t="s">
        <v>11</v>
      </c>
      <c r="F953" s="10">
        <v>45261</v>
      </c>
      <c r="G953">
        <v>3735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974</v>
      </c>
      <c r="C954" t="s">
        <v>16</v>
      </c>
      <c r="D954">
        <v>97</v>
      </c>
      <c r="E954" s="9" t="s">
        <v>8</v>
      </c>
      <c r="F954" s="10">
        <v>45261</v>
      </c>
      <c r="G954">
        <v>9462</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975</v>
      </c>
      <c r="C955" t="s">
        <v>19</v>
      </c>
      <c r="D955">
        <v>102</v>
      </c>
      <c r="E955" s="9" t="s">
        <v>7</v>
      </c>
      <c r="F955" s="10">
        <v>45262</v>
      </c>
      <c r="G955">
        <v>5976</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976</v>
      </c>
      <c r="C956" t="s">
        <v>5</v>
      </c>
      <c r="D956">
        <v>62</v>
      </c>
      <c r="E956" s="9" t="s">
        <v>8</v>
      </c>
      <c r="F956" s="10">
        <v>45262</v>
      </c>
      <c r="G956">
        <v>17015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977</v>
      </c>
      <c r="C957" t="s">
        <v>10</v>
      </c>
      <c r="D957">
        <v>149</v>
      </c>
      <c r="E957" s="9" t="s">
        <v>7</v>
      </c>
      <c r="F957" s="10">
        <v>45263</v>
      </c>
      <c r="G957">
        <v>3486</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978</v>
      </c>
      <c r="C958" t="s">
        <v>12</v>
      </c>
      <c r="D958">
        <v>133</v>
      </c>
      <c r="E958" s="9" t="s">
        <v>8</v>
      </c>
      <c r="F958" s="10">
        <v>45263</v>
      </c>
      <c r="G958">
        <v>7968</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979</v>
      </c>
      <c r="C959" t="s">
        <v>19</v>
      </c>
      <c r="D959">
        <v>51</v>
      </c>
      <c r="E959" s="9" t="s">
        <v>4</v>
      </c>
      <c r="F959" s="10">
        <v>45263</v>
      </c>
      <c r="G959">
        <v>5312</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980</v>
      </c>
      <c r="C960" t="s">
        <v>5</v>
      </c>
      <c r="D960">
        <v>110</v>
      </c>
      <c r="E960" s="9" t="s">
        <v>8</v>
      </c>
      <c r="F960" s="10">
        <v>45264</v>
      </c>
      <c r="G960">
        <v>5976</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981</v>
      </c>
      <c r="C961" t="s">
        <v>16</v>
      </c>
      <c r="D961">
        <v>38</v>
      </c>
      <c r="E961" s="9" t="s">
        <v>11</v>
      </c>
      <c r="F961" s="10">
        <v>45265</v>
      </c>
      <c r="G961">
        <v>2241</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982</v>
      </c>
      <c r="C962" t="s">
        <v>12</v>
      </c>
      <c r="D962">
        <v>78</v>
      </c>
      <c r="E962" s="9" t="s">
        <v>11</v>
      </c>
      <c r="F962" s="10">
        <v>45267</v>
      </c>
      <c r="G962">
        <v>16600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983</v>
      </c>
      <c r="C963" t="s">
        <v>16</v>
      </c>
      <c r="D963">
        <v>25</v>
      </c>
      <c r="E963" s="9" t="s">
        <v>7</v>
      </c>
      <c r="F963" s="10">
        <v>45268</v>
      </c>
      <c r="G963">
        <v>7719</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984</v>
      </c>
      <c r="C964" t="s">
        <v>14</v>
      </c>
      <c r="D964">
        <v>50</v>
      </c>
      <c r="E964" s="9" t="s">
        <v>4</v>
      </c>
      <c r="F964" s="10">
        <v>45268</v>
      </c>
      <c r="G964">
        <v>4482</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985</v>
      </c>
      <c r="C965" t="s">
        <v>16</v>
      </c>
      <c r="D965">
        <v>103</v>
      </c>
      <c r="E965" s="9" t="s">
        <v>7</v>
      </c>
      <c r="F965" s="10">
        <v>45269</v>
      </c>
      <c r="G965">
        <v>5976</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986</v>
      </c>
      <c r="C966" t="s">
        <v>20</v>
      </c>
      <c r="D966">
        <v>63</v>
      </c>
      <c r="E966" s="9" t="s">
        <v>9</v>
      </c>
      <c r="F966" s="10">
        <v>45269</v>
      </c>
      <c r="G966">
        <v>6806</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987</v>
      </c>
      <c r="C967" t="s">
        <v>14</v>
      </c>
      <c r="D967">
        <v>96</v>
      </c>
      <c r="E967" s="9" t="s">
        <v>4</v>
      </c>
      <c r="F967" s="10">
        <v>45273</v>
      </c>
      <c r="G967">
        <v>13612</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988</v>
      </c>
      <c r="C968" t="s">
        <v>21</v>
      </c>
      <c r="D968">
        <v>94</v>
      </c>
      <c r="E968" s="9" t="s">
        <v>7</v>
      </c>
      <c r="F968" s="10">
        <v>45273</v>
      </c>
      <c r="G968">
        <v>6474</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989</v>
      </c>
      <c r="C969" t="s">
        <v>5</v>
      </c>
      <c r="D969">
        <v>46</v>
      </c>
      <c r="E969" s="9" t="s">
        <v>11</v>
      </c>
      <c r="F969" s="10">
        <v>45274</v>
      </c>
      <c r="G969">
        <v>11205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990</v>
      </c>
      <c r="C970" t="s">
        <v>3</v>
      </c>
      <c r="D970">
        <v>127</v>
      </c>
      <c r="E970" s="9" t="s">
        <v>4</v>
      </c>
      <c r="F970" s="10">
        <v>45275</v>
      </c>
      <c r="G970">
        <v>12035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991</v>
      </c>
      <c r="C971" t="s">
        <v>13</v>
      </c>
      <c r="D971">
        <v>96</v>
      </c>
      <c r="E971" s="9" t="s">
        <v>11</v>
      </c>
      <c r="F971" s="10">
        <v>45275</v>
      </c>
      <c r="G971">
        <v>9545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998</v>
      </c>
      <c r="C972" t="s">
        <v>15</v>
      </c>
      <c r="D972">
        <v>151</v>
      </c>
      <c r="E972" s="9" t="s">
        <v>7</v>
      </c>
      <c r="F972" s="10">
        <v>45275</v>
      </c>
      <c r="G972">
        <v>9711</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999</v>
      </c>
      <c r="C973" t="s">
        <v>3</v>
      </c>
      <c r="D973">
        <v>158</v>
      </c>
      <c r="E973" s="9" t="s">
        <v>8</v>
      </c>
      <c r="F973" s="10">
        <v>45276</v>
      </c>
      <c r="G973">
        <v>2988</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1000</v>
      </c>
      <c r="C974" t="s">
        <v>21</v>
      </c>
      <c r="D974">
        <v>45</v>
      </c>
      <c r="E974" s="9" t="s">
        <v>8</v>
      </c>
      <c r="F974" s="10">
        <v>45276</v>
      </c>
      <c r="G974">
        <v>6972</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1001</v>
      </c>
      <c r="C975" t="s">
        <v>22</v>
      </c>
      <c r="D975">
        <v>141</v>
      </c>
      <c r="E975" s="9" t="s">
        <v>8</v>
      </c>
      <c r="F975" s="10">
        <v>45276</v>
      </c>
      <c r="G975">
        <v>5478</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1002</v>
      </c>
      <c r="C976" t="s">
        <v>16</v>
      </c>
      <c r="D976">
        <v>147</v>
      </c>
      <c r="E976" s="9" t="s">
        <v>11</v>
      </c>
      <c r="F976" s="10">
        <v>45276</v>
      </c>
      <c r="G976">
        <v>6308</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1003</v>
      </c>
      <c r="C977" t="s">
        <v>17</v>
      </c>
      <c r="D977">
        <v>126</v>
      </c>
      <c r="E977" s="9" t="s">
        <v>11</v>
      </c>
      <c r="F977" s="10">
        <v>45276</v>
      </c>
      <c r="G977">
        <v>15355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1004</v>
      </c>
      <c r="C978" t="s">
        <v>21</v>
      </c>
      <c r="D978">
        <v>126</v>
      </c>
      <c r="E978" s="9" t="s">
        <v>9</v>
      </c>
      <c r="F978" s="10">
        <v>45277</v>
      </c>
      <c r="G978">
        <v>6640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1005</v>
      </c>
      <c r="C979" t="s">
        <v>12</v>
      </c>
      <c r="D979">
        <v>32</v>
      </c>
      <c r="E979" s="9" t="s">
        <v>11</v>
      </c>
      <c r="F979" s="10">
        <v>45277</v>
      </c>
      <c r="G979">
        <v>12284</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1006</v>
      </c>
      <c r="C980" t="s">
        <v>21</v>
      </c>
      <c r="D980">
        <v>84</v>
      </c>
      <c r="E980" s="9" t="s">
        <v>4</v>
      </c>
      <c r="F980" s="10">
        <v>45279</v>
      </c>
      <c r="G980">
        <v>14940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1007</v>
      </c>
      <c r="C981" t="s">
        <v>20</v>
      </c>
      <c r="D981">
        <v>120</v>
      </c>
      <c r="E981" s="9" t="s">
        <v>9</v>
      </c>
      <c r="F981" s="10">
        <v>45280</v>
      </c>
      <c r="G981">
        <v>15770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1008</v>
      </c>
      <c r="C982" t="s">
        <v>6</v>
      </c>
      <c r="D982">
        <v>93</v>
      </c>
      <c r="E982" s="9" t="s">
        <v>11</v>
      </c>
      <c r="F982" s="10">
        <v>45280</v>
      </c>
      <c r="G982">
        <v>3154</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1009</v>
      </c>
      <c r="C983" t="s">
        <v>13</v>
      </c>
      <c r="D983">
        <v>76</v>
      </c>
      <c r="E983" s="9" t="s">
        <v>7</v>
      </c>
      <c r="F983" s="10">
        <v>45281</v>
      </c>
      <c r="G983">
        <v>6806</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1010</v>
      </c>
      <c r="C984" t="s">
        <v>3</v>
      </c>
      <c r="D984">
        <v>89</v>
      </c>
      <c r="E984" s="9" t="s">
        <v>11</v>
      </c>
      <c r="F984" s="10">
        <v>45284</v>
      </c>
      <c r="G984">
        <v>7304</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1011</v>
      </c>
      <c r="C985" t="s">
        <v>19</v>
      </c>
      <c r="D985">
        <v>91</v>
      </c>
      <c r="E985" s="9" t="s">
        <v>4</v>
      </c>
      <c r="F985" s="10">
        <v>45284</v>
      </c>
      <c r="G985">
        <v>3486</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1012</v>
      </c>
      <c r="C986" t="s">
        <v>5</v>
      </c>
      <c r="D986">
        <v>7</v>
      </c>
      <c r="E986" s="9" t="s">
        <v>8</v>
      </c>
      <c r="F986" s="10">
        <v>45285</v>
      </c>
      <c r="G986">
        <v>5312</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1013</v>
      </c>
      <c r="C987" t="s">
        <v>12</v>
      </c>
      <c r="D987">
        <v>140</v>
      </c>
      <c r="E987" s="9" t="s">
        <v>8</v>
      </c>
      <c r="F987" s="10">
        <v>45285</v>
      </c>
      <c r="G987">
        <v>8715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1014</v>
      </c>
      <c r="C988" t="s">
        <v>10</v>
      </c>
      <c r="D988">
        <v>58</v>
      </c>
      <c r="E988" s="9" t="s">
        <v>9</v>
      </c>
      <c r="F988" s="10">
        <v>45285</v>
      </c>
      <c r="G988">
        <v>2075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1015</v>
      </c>
      <c r="C989" t="s">
        <v>18</v>
      </c>
      <c r="D989">
        <v>90</v>
      </c>
      <c r="E989" s="9" t="s">
        <v>7</v>
      </c>
      <c r="F989" s="10">
        <v>45286</v>
      </c>
      <c r="G989">
        <v>14608</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1016</v>
      </c>
      <c r="C990" t="s">
        <v>18</v>
      </c>
      <c r="D990">
        <v>106</v>
      </c>
      <c r="E990" s="9" t="s">
        <v>11</v>
      </c>
      <c r="F990" s="10">
        <v>45287</v>
      </c>
      <c r="G990">
        <v>3818</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1017</v>
      </c>
      <c r="C991" t="s">
        <v>20</v>
      </c>
      <c r="D991">
        <v>72</v>
      </c>
      <c r="E991" s="9" t="s">
        <v>8</v>
      </c>
      <c r="F991" s="10">
        <v>45287</v>
      </c>
      <c r="G991">
        <v>13612</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1018</v>
      </c>
      <c r="C992" t="s">
        <v>5</v>
      </c>
      <c r="D992">
        <v>124</v>
      </c>
      <c r="E992" s="9" t="s">
        <v>8</v>
      </c>
      <c r="F992" s="10">
        <v>45288</v>
      </c>
      <c r="G992">
        <v>5312</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1019</v>
      </c>
      <c r="C993" t="s">
        <v>22</v>
      </c>
      <c r="D993">
        <v>86</v>
      </c>
      <c r="E993" s="9" t="s">
        <v>4</v>
      </c>
      <c r="F993" s="10">
        <v>45288</v>
      </c>
      <c r="G993">
        <v>17015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1020</v>
      </c>
      <c r="C994" t="s">
        <v>21</v>
      </c>
      <c r="D994">
        <v>164</v>
      </c>
      <c r="E994" s="9" t="s">
        <v>4</v>
      </c>
      <c r="F994" s="10">
        <v>45289</v>
      </c>
      <c r="G994">
        <v>8300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1021</v>
      </c>
      <c r="C995" t="s">
        <v>6</v>
      </c>
      <c r="D995">
        <v>40</v>
      </c>
      <c r="E995" s="9" t="s">
        <v>7</v>
      </c>
      <c r="F995" s="10">
        <v>45289</v>
      </c>
      <c r="G995">
        <v>9213</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1022</v>
      </c>
      <c r="C996" t="s">
        <v>19</v>
      </c>
      <c r="D996">
        <v>76</v>
      </c>
      <c r="E996" s="9" t="s">
        <v>9</v>
      </c>
      <c r="F996" s="10">
        <v>45289</v>
      </c>
      <c r="G996">
        <v>6640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1023</v>
      </c>
      <c r="C997" t="s">
        <v>5</v>
      </c>
      <c r="D997">
        <v>95</v>
      </c>
      <c r="E997" s="9" t="s">
        <v>11</v>
      </c>
      <c r="F997" s="10">
        <v>45289</v>
      </c>
      <c r="G997">
        <v>4150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1024</v>
      </c>
      <c r="C998" t="s">
        <v>19</v>
      </c>
      <c r="D998">
        <v>113</v>
      </c>
      <c r="E998" s="9" t="s">
        <v>8</v>
      </c>
      <c r="F998" s="10">
        <v>45290</v>
      </c>
      <c r="G998">
        <v>13695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1025</v>
      </c>
      <c r="C999" t="s">
        <v>22</v>
      </c>
      <c r="D999">
        <v>81</v>
      </c>
      <c r="E999" s="9" t="s">
        <v>8</v>
      </c>
      <c r="F999" s="10">
        <v>45290</v>
      </c>
      <c r="G999">
        <v>2324</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1026</v>
      </c>
      <c r="C1000" t="s">
        <v>13</v>
      </c>
      <c r="D1000">
        <v>127</v>
      </c>
      <c r="E1000" s="9" t="s">
        <v>11</v>
      </c>
      <c r="F1000" s="10">
        <v>45290</v>
      </c>
      <c r="G1000">
        <v>17845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1027</v>
      </c>
      <c r="C1001" t="s">
        <v>12</v>
      </c>
      <c r="D1001">
        <v>146</v>
      </c>
      <c r="E1001" s="9" t="s">
        <v>8</v>
      </c>
      <c r="F1001" s="10">
        <v>45291</v>
      </c>
      <c r="G1001">
        <v>9545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1028</v>
      </c>
      <c r="C1002" t="s">
        <v>16</v>
      </c>
      <c r="D1002">
        <v>123</v>
      </c>
      <c r="E1002" s="9" t="s">
        <v>8</v>
      </c>
      <c r="F1002" s="10">
        <v>45291</v>
      </c>
      <c r="G1002">
        <v>5312</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1029</v>
      </c>
      <c r="C1003" t="s">
        <v>20</v>
      </c>
      <c r="D1003">
        <v>114</v>
      </c>
      <c r="E1003" s="9" t="s">
        <v>9</v>
      </c>
      <c r="F1003" s="10">
        <v>45291</v>
      </c>
      <c r="G1003">
        <v>3320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1" type="noConversion"/>
  <conditionalFormatting sqref="B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J3:L11"/>
  <sheetViews>
    <sheetView zoomScale="93" zoomScaleNormal="115" workbookViewId="0">
      <selection activeCell="G4" sqref="G4"/>
    </sheetView>
  </sheetViews>
  <sheetFormatPr defaultRowHeight="14.4" x14ac:dyDescent="0.3"/>
  <cols>
    <col min="5" max="5" width="10.8984375" customWidth="1"/>
    <col min="6" max="6" width="9.8984375" customWidth="1"/>
  </cols>
  <sheetData>
    <row r="3" spans="10:12" ht="49.2" customHeight="1" x14ac:dyDescent="0.3"/>
    <row r="4" spans="10:12" ht="49.8" customHeight="1" x14ac:dyDescent="0.3"/>
    <row r="5" spans="10:12" ht="35.4" customHeight="1" x14ac:dyDescent="0.3"/>
    <row r="6" spans="10:12" ht="41.4" customHeight="1" x14ac:dyDescent="0.3"/>
    <row r="7" spans="10:12" ht="43.2" customHeight="1" x14ac:dyDescent="0.3"/>
    <row r="9" spans="10:12" x14ac:dyDescent="0.3">
      <c r="J9">
        <f>F3</f>
        <v>0</v>
      </c>
    </row>
    <row r="11" spans="10:12" x14ac:dyDescent="0.3">
      <c r="L11">
        <f>F3</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Anushka Yadav</cp:lastModifiedBy>
  <dcterms:created xsi:type="dcterms:W3CDTF">2021-03-14T20:21:32Z</dcterms:created>
  <dcterms:modified xsi:type="dcterms:W3CDTF">2026-04-19T06:37:49Z</dcterms:modified>
</cp:coreProperties>
</file>